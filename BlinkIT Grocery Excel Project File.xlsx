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3070fd0daec89253/Desktop/Projects/Excel Blinkit/"/>
    </mc:Choice>
  </mc:AlternateContent>
  <xr:revisionPtr revIDLastSave="965" documentId="13_ncr:1_{78657701-BFD7-4CF4-919C-B0604C5F0538}" xr6:coauthVersionLast="47" xr6:coauthVersionMax="47" xr10:uidLastSave="{FE06758E-49A3-4B7B-BEF3-06C796CD9E51}"/>
  <bookViews>
    <workbookView xWindow="-110" yWindow="-110" windowWidth="19420" windowHeight="10300" activeTab="2" xr2:uid="{F8420BDF-C08E-4FBB-891B-F574F63AC6D0}"/>
  </bookViews>
  <sheets>
    <sheet name="BlinkIT Grocery Data" sheetId="1" r:id="rId1"/>
    <sheet name="Sheets Design" sheetId="2" r:id="rId2"/>
    <sheet name="Dashboard" sheetId="3" r:id="rId3"/>
  </sheets>
  <definedNames>
    <definedName name="_xlchart.v2.0" hidden="1">'Sheets Design'!$D$81:$D$83</definedName>
    <definedName name="_xlchart.v2.1" hidden="1">'Sheets Design'!$E$80</definedName>
    <definedName name="_xlchart.v2.2" hidden="1">'Sheets Design'!$E$81:$E$83</definedName>
    <definedName name="_xlchart.v2.3" hidden="1">'Sheets Design'!$D$81:$D$83</definedName>
    <definedName name="_xlchart.v2.4" hidden="1">'Sheets Design'!$E$80</definedName>
    <definedName name="_xlchart.v2.5" hidden="1">'Sheets Design'!$E$81:$E$83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2" i="2" l="1"/>
  <c r="D83" i="2"/>
  <c r="D81" i="2"/>
  <c r="D8" i="2"/>
  <c r="C8" i="2"/>
  <c r="B8" i="2"/>
  <c r="A8" i="2"/>
  <c r="E82" i="2"/>
  <c r="E83" i="2"/>
  <c r="E81" i="2"/>
</calcChain>
</file>

<file path=xl/sharedStrings.xml><?xml version="1.0" encoding="utf-8"?>
<sst xmlns="http://schemas.openxmlformats.org/spreadsheetml/2006/main" count="59736" uniqueCount="1630">
  <si>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</si>
  <si>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</si>
  <si>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</si>
  <si>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</si>
  <si>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</si>
  <si>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</si>
  <si>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</si>
  <si>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</si>
  <si>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</si>
  <si>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</si>
  <si>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</si>
  <si>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</si>
  <si>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</si>
  <si>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</si>
  <si>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</si>
  <si>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</si>
  <si>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</si>
  <si>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</si>
  <si>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</si>
  <si>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</si>
  <si>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</si>
  <si>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</si>
  <si>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</si>
  <si>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</si>
  <si>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</si>
  <si>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</si>
  <si>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</si>
  <si>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</si>
  <si>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</si>
  <si>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</si>
  <si>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</si>
  <si>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</si>
  <si>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</si>
  <si>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</si>
  <si>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</si>
  <si>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</si>
  <si>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</si>
  <si>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</si>
  <si>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</si>
  <si>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</si>
  <si>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</si>
  <si>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</si>
  <si>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</si>
  <si>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</si>
  <si>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</si>
  <si>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</si>
  <si>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</si>
  <si>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</si>
  <si>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</si>
  <si>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</si>
  <si>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</si>
  <si>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</si>
  <si>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</si>
  <si>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</si>
  <si>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</si>
  <si>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</si>
  <si>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</si>
  <si>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</si>
  <si>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</si>
  <si>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</si>
  <si>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</si>
  <si>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</si>
  <si>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</si>
  <si>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</si>
  <si>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</si>
  <si>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</si>
  <si>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</si>
  <si>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</si>
  <si>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</si>
  <si>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</si>
  <si>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</si>
  <si>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</si>
  <si>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</si>
  <si>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</si>
  <si>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</si>
  <si>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</si>
  <si>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</si>
  <si>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</si>
  <si>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</si>
  <si>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</si>
  <si>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</si>
  <si>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</si>
  <si>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</si>
  <si>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</si>
  <si>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</si>
  <si>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</si>
  <si>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</si>
  <si>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</si>
  <si>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</si>
  <si>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</si>
  <si>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</si>
  <si>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</si>
  <si>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</si>
  <si>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</si>
  <si>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</si>
  <si>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</si>
  <si>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</si>
  <si>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</si>
  <si>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</si>
  <si>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</si>
  <si>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</si>
  <si>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</si>
  <si>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</si>
  <si>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</si>
  <si>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</si>
  <si>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</si>
  <si>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</si>
  <si>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</si>
  <si>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</si>
  <si>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</si>
  <si>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</si>
  <si>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</si>
  <si>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</si>
  <si>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</si>
  <si>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</si>
  <si>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</si>
  <si>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</si>
  <si>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</si>
  <si>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</si>
  <si>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</si>
  <si>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</si>
  <si>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</si>
  <si>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</si>
  <si>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</si>
  <si>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</si>
  <si>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</si>
  <si>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</si>
  <si>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</si>
  <si>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</si>
  <si>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</si>
  <si>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</si>
  <si>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</si>
  <si>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</si>
  <si>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</si>
  <si>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</si>
  <si>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</si>
  <si>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</si>
  <si>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</si>
  <si>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</si>
  <si>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</si>
  <si>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</si>
  <si>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</si>
  <si>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</si>
  <si>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</si>
  <si>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</si>
  <si>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</si>
  <si>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</si>
  <si>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</si>
  <si>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</si>
  <si>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</si>
  <si>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</si>
  <si>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</si>
  <si>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</si>
  <si>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</si>
  <si>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</si>
  <si>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</si>
  <si>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</si>
  <si>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</si>
  <si>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</si>
  <si>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</si>
  <si>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</si>
  <si>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</si>
  <si>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</si>
  <si>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</si>
  <si>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</si>
  <si>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</si>
  <si>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</si>
  <si>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</si>
  <si>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</si>
  <si>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</si>
  <si>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</si>
  <si>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</si>
  <si>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</si>
  <si>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</si>
  <si>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</si>
  <si>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</si>
  <si>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</si>
  <si>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</si>
  <si>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</si>
  <si>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</si>
  <si>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</si>
  <si>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</si>
  <si>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</si>
  <si>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</si>
  <si>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</si>
  <si>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</si>
  <si>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</si>
  <si>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</si>
  <si>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</si>
  <si>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</si>
  <si>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</si>
  <si>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</si>
  <si>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</si>
  <si>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</si>
  <si>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</si>
  <si>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</si>
  <si>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</si>
  <si>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</si>
  <si>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</si>
  <si>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</si>
  <si>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</si>
  <si>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</si>
  <si>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</si>
  <si>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</si>
  <si>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</si>
  <si>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</si>
  <si>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</si>
  <si>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</si>
  <si>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</si>
  <si>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</si>
  <si>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</si>
  <si>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</si>
  <si>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</si>
  <si>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</si>
  <si>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</si>
  <si>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</si>
  <si>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</si>
  <si>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</si>
  <si>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</si>
  <si>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</si>
  <si>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</si>
  <si>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</si>
  <si>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</si>
  <si>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</si>
  <si>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</si>
  <si>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</si>
  <si>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</si>
  <si>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</si>
  <si>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</si>
  <si>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</si>
  <si>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</si>
  <si>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</si>
  <si>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</si>
  <si>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</si>
  <si>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</si>
  <si>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</si>
  <si>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</si>
  <si>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</si>
  <si>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</si>
  <si>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</si>
  <si>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</si>
  <si>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</si>
  <si>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</si>
  <si>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</si>
  <si>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</si>
  <si>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</si>
  <si>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</si>
  <si>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</si>
  <si>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</si>
  <si>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</si>
  <si>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</si>
  <si>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</si>
  <si>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</si>
  <si>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</si>
  <si>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</si>
  <si>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</si>
  <si>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</si>
  <si>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</si>
  <si>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</si>
  <si>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</si>
  <si>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</si>
  <si>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</si>
  <si>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</si>
  <si>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</si>
  <si>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</si>
  <si>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</si>
  <si>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</si>
  <si>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</si>
  <si>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</si>
  <si>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</si>
  <si>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</si>
  <si>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</si>
  <si>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</si>
  <si>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</si>
  <si>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</si>
  <si>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</si>
  <si>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</si>
  <si>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</si>
  <si>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</si>
  <si>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</si>
  <si>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</si>
  <si>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</si>
  <si>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</si>
  <si>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</si>
  <si>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</si>
  <si>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</si>
  <si>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</si>
  <si>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</si>
  <si>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</si>
  <si>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</si>
  <si>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</si>
  <si>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</si>
  <si>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</si>
  <si>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</si>
  <si>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</si>
  <si>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</si>
  <si>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</si>
  <si>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</si>
  <si>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</si>
  <si>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</si>
  <si>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</si>
  <si>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</si>
  <si>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</si>
  <si>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</si>
  <si>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</si>
  <si>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</si>
  <si>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</si>
  <si>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</si>
  <si>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</si>
  <si>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</si>
  <si>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</si>
  <si>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</si>
  <si>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</si>
  <si>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</si>
  <si>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</si>
  <si>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</si>
  <si>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</si>
  <si>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</si>
  <si>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</si>
  <si>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</si>
  <si>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</si>
  <si>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</si>
  <si>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</si>
  <si>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</si>
  <si>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</si>
  <si>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</si>
  <si>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</si>
  <si>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</si>
  <si>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</si>
  <si>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</si>
  <si>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</si>
  <si>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</si>
  <si>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</si>
  <si>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</si>
  <si>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</si>
  <si>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</si>
  <si>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</si>
  <si>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</si>
  <si>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</si>
  <si>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</si>
  <si>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</si>
  <si>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</si>
  <si>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</si>
  <si>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</si>
  <si>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</si>
  <si>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</si>
  <si>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</si>
  <si>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</si>
  <si>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</si>
  <si>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</si>
  <si>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</si>
  <si>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</si>
  <si>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</si>
  <si>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</si>
  <si>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</si>
  <si>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</si>
  <si>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</si>
  <si>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</si>
  <si>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</si>
  <si>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</si>
  <si>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</si>
  <si>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</si>
  <si>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</si>
  <si>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</si>
  <si>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</si>
  <si>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</si>
  <si>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</si>
  <si>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</si>
  <si>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</si>
  <si>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</si>
  <si>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</si>
  <si>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</si>
  <si>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</si>
  <si>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</si>
  <si>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</si>
  <si>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</si>
  <si>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</si>
  <si>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</si>
  <si>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</si>
  <si>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</si>
  <si>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</si>
  <si>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</si>
  <si>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</si>
  <si>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</si>
  <si>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</si>
  <si>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</si>
  <si>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</si>
  <si>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</si>
  <si>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</si>
  <si>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</si>
  <si>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</si>
  <si>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</si>
  <si>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</si>
  <si>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</si>
  <si>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</si>
  <si>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</si>
  <si>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</si>
  <si>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</si>
  <si>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</si>
  <si>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</si>
  <si>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</si>
  <si>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</si>
  <si>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</si>
  <si>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</si>
  <si>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</si>
  <si>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</si>
  <si>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</si>
  <si>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</si>
  <si>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</si>
  <si>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</si>
  <si>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</si>
  <si>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</si>
  <si>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</si>
  <si>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</si>
  <si>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</si>
  <si>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</si>
  <si>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</si>
  <si>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</si>
  <si>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</si>
  <si>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</si>
  <si>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</si>
  <si>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</si>
  <si>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</si>
  <si>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</si>
  <si>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</si>
  <si>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</si>
  <si>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</si>
  <si>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</si>
  <si>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</si>
  <si>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</si>
  <si>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</si>
  <si>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</si>
  <si>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</si>
  <si>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</si>
  <si>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</si>
  <si>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</si>
  <si>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</si>
  <si>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</si>
  <si>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</si>
  <si>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</si>
  <si>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</si>
  <si>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</si>
  <si>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</si>
  <si>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</si>
  <si>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</si>
  <si>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</si>
  <si>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</si>
  <si>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</si>
  <si>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</si>
  <si>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</si>
  <si>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</si>
  <si>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</si>
  <si>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</si>
  <si>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</si>
  <si>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</si>
  <si>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</si>
  <si>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</si>
  <si>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</si>
  <si>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</si>
  <si>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</si>
  <si>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</si>
  <si>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</si>
  <si>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</si>
  <si>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</si>
  <si>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</si>
  <si>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</si>
  <si>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</si>
  <si>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</si>
  <si>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</si>
  <si>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</si>
  <si>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</si>
  <si>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</si>
  <si>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</si>
  <si>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</si>
  <si>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</si>
  <si>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</si>
  <si>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</si>
  <si>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</si>
  <si>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</si>
  <si>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</si>
  <si>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</si>
  <si>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</si>
  <si>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</si>
  <si>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</si>
  <si>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</si>
  <si>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</si>
  <si>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</si>
  <si>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</si>
  <si>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</si>
  <si>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</si>
  <si>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</si>
  <si>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</si>
  <si>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</si>
  <si>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</si>
  <si>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</si>
  <si>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</si>
  <si>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</si>
  <si>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</si>
  <si>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</si>
  <si>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</si>
  <si>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</si>
  <si>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</si>
  <si>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</si>
  <si>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</si>
  <si>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</si>
  <si>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</si>
  <si>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</si>
  <si>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</si>
  <si>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</si>
  <si>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</si>
  <si>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</si>
  <si>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</si>
  <si>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</si>
  <si>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</si>
  <si>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</si>
  <si>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</si>
  <si>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</si>
  <si>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</si>
  <si>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</si>
  <si>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</si>
  <si>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</si>
  <si>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</si>
  <si>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</si>
  <si>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</si>
  <si>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</si>
  <si>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</si>
  <si>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</si>
  <si>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</si>
  <si>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</si>
  <si>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</si>
  <si>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</si>
  <si>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</si>
  <si>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</si>
  <si>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</si>
  <si>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</si>
  <si>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</si>
  <si>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</si>
  <si>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</si>
  <si>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</si>
  <si>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</si>
  <si>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</si>
  <si>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</si>
  <si>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</si>
  <si>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</si>
  <si>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</si>
  <si>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</si>
  <si>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</si>
  <si>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</si>
  <si>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</si>
  <si>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</si>
  <si>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</si>
  <si>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</si>
  <si>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</si>
  <si>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</si>
  <si>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</si>
  <si>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</si>
  <si>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</si>
  <si>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</si>
  <si>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</si>
  <si>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</si>
  <si>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</si>
  <si>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</si>
  <si>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</si>
  <si>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</si>
  <si>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</si>
  <si>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</si>
  <si>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</si>
  <si>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</si>
  <si>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</si>
  <si>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</si>
  <si>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</si>
  <si>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</si>
  <si>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</si>
  <si>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</si>
  <si>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</si>
  <si>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</si>
  <si>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</si>
  <si>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</si>
  <si>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</si>
  <si>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</si>
  <si>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</si>
  <si>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</si>
  <si>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</si>
  <si>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</si>
  <si>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</si>
  <si>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</si>
  <si>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</si>
  <si>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</si>
  <si>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</si>
  <si>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</si>
  <si>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</si>
  <si>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</si>
  <si>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</si>
  <si>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</si>
  <si>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</si>
  <si>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</si>
  <si>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</si>
  <si>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</si>
  <si>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</si>
  <si>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</si>
  <si>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</si>
  <si>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</si>
  <si>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</si>
  <si>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</si>
  <si>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</si>
  <si>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</si>
  <si>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</si>
  <si>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</si>
  <si>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</si>
  <si>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</si>
  <si>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</si>
  <si>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</si>
  <si>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</si>
  <si>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</si>
  <si>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</si>
  <si>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</si>
  <si>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</si>
  <si>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</si>
  <si>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</si>
  <si>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</si>
  <si>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</si>
  <si>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</si>
  <si>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</si>
  <si>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</si>
  <si>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</si>
  <si>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</si>
  <si>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</si>
  <si>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</si>
  <si>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</si>
  <si>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</si>
  <si>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</si>
  <si>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</si>
  <si>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</si>
  <si>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</si>
  <si>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</si>
  <si>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</si>
  <si>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</si>
  <si>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</si>
  <si>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</si>
  <si>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</si>
  <si>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</si>
  <si>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</si>
  <si>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</si>
  <si>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</si>
  <si>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</si>
  <si>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</si>
  <si>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</si>
  <si>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</si>
  <si>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</si>
  <si>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</si>
  <si>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</si>
  <si>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</si>
  <si>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</si>
  <si>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</si>
  <si>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</si>
  <si>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</si>
  <si>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</si>
  <si>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</si>
  <si>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</si>
  <si>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</si>
  <si>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</si>
  <si>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</si>
  <si>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</si>
  <si>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</si>
  <si>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</si>
  <si>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</si>
  <si>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</si>
  <si>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</si>
  <si>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</si>
  <si>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</si>
  <si>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</si>
  <si>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</si>
  <si>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</si>
  <si>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</si>
  <si>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</si>
  <si>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</si>
  <si>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</si>
  <si>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</si>
  <si>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</si>
  <si>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</si>
  <si>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</si>
  <si>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</si>
  <si>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</si>
  <si>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</si>
  <si>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</si>
  <si>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</si>
  <si>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</si>
  <si>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</si>
  <si>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</si>
  <si>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</si>
  <si>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</si>
  <si>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</si>
  <si>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</si>
  <si>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</si>
  <si>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</si>
  <si>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</si>
  <si>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</si>
  <si>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</si>
  <si>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</si>
  <si>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</si>
  <si>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</si>
  <si>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</si>
  <si>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</si>
  <si>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</si>
  <si>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</si>
  <si>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</si>
  <si>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</si>
  <si>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</si>
  <si>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</si>
  <si>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</si>
  <si>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</si>
  <si>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</si>
  <si>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</si>
  <si>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</si>
  <si>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</si>
  <si>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</si>
  <si>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</si>
  <si>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</si>
  <si>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</si>
  <si>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</si>
  <si>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</si>
  <si>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</si>
  <si>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</si>
  <si>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</si>
  <si>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</si>
  <si>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</si>
  <si>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</si>
  <si>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</si>
  <si>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</si>
  <si>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</si>
  <si>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</si>
  <si>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</si>
  <si>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</si>
  <si>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</si>
  <si>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</si>
  <si>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</si>
  <si>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</si>
  <si>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</si>
  <si>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</si>
  <si>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</si>
  <si>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</si>
  <si>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</si>
  <si>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</si>
  <si>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</si>
  <si>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</si>
  <si>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</si>
  <si>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</si>
  <si>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</si>
  <si>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</si>
  <si>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</si>
  <si>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</si>
  <si>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</si>
  <si>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</si>
  <si>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</si>
  <si>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</si>
  <si>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</si>
  <si>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</si>
  <si>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</si>
  <si>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</si>
  <si>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</si>
  <si>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</si>
  <si>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</si>
  <si>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</si>
  <si>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</si>
  <si>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</si>
  <si>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</si>
  <si>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</si>
  <si>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</si>
  <si>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</si>
  <si>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</si>
  <si>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</si>
  <si>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</si>
  <si>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</si>
  <si>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</si>
  <si>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</si>
  <si>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</si>
  <si>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</si>
  <si>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</si>
  <si>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</si>
  <si>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</si>
  <si>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</si>
  <si>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</si>
  <si>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</si>
  <si>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</si>
  <si>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</si>
  <si>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</si>
  <si>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</si>
  <si>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</si>
  <si>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</si>
  <si>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</si>
  <si>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</si>
  <si>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</si>
  <si>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</si>
  <si>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</si>
  <si>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</si>
  <si>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</si>
  <si>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</si>
  <si>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</si>
  <si>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</si>
  <si>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</si>
  <si>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</si>
  <si>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</si>
  <si>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</si>
  <si>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</si>
  <si>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</si>
  <si>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</si>
  <si>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</si>
  <si>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</si>
  <si>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</si>
  <si>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</si>
  <si>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</si>
  <si>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</si>
  <si>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</si>
  <si>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</si>
  <si>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</si>
  <si>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</si>
  <si>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</si>
  <si>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</si>
  <si>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</si>
  <si>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</si>
  <si>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</si>
  <si>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</si>
  <si>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</si>
  <si>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</si>
  <si>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</si>
  <si>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</si>
  <si>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</si>
  <si>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</si>
  <si>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</si>
  <si>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</si>
  <si>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</si>
  <si>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</si>
  <si>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</si>
  <si>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</si>
  <si>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</si>
  <si>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</si>
  <si>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</si>
  <si>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</si>
  <si>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</si>
  <si>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</si>
  <si>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</si>
  <si>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</si>
  <si>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</si>
  <si>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</si>
  <si>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</si>
  <si>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</si>
  <si>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</si>
  <si>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</si>
  <si>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</si>
  <si>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</si>
  <si>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</si>
  <si>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</si>
  <si>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</si>
  <si>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</si>
  <si>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</si>
  <si>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</si>
  <si>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</si>
  <si>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</si>
  <si>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</si>
  <si>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</si>
  <si>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</si>
  <si>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</si>
  <si>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</si>
  <si>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</si>
  <si>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</si>
  <si>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</si>
  <si>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</si>
  <si>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</si>
  <si>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</si>
  <si>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</si>
  <si>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</si>
  <si>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</si>
  <si>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</si>
  <si>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</si>
  <si>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</si>
  <si>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</si>
  <si>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</si>
  <si>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</si>
  <si>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</si>
  <si>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</si>
  <si>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</si>
  <si>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</si>
  <si>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</si>
  <si>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</si>
  <si>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</si>
  <si>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</si>
  <si>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</si>
  <si>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</si>
  <si>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</si>
  <si>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</si>
  <si>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</si>
  <si>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</si>
  <si>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</si>
  <si>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</si>
  <si>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</si>
  <si>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</si>
  <si>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</si>
  <si>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</si>
  <si>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</si>
  <si>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</si>
  <si>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</si>
  <si>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</si>
  <si>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</si>
  <si>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</si>
  <si>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</si>
  <si>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</si>
  <si>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</si>
  <si>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</si>
  <si>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</si>
  <si>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</si>
  <si>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</si>
  <si>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</si>
  <si>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</si>
  <si>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</si>
  <si>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</si>
  <si>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</si>
  <si>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</si>
  <si>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</si>
  <si>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</si>
  <si>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</si>
  <si>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</si>
  <si>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</si>
  <si>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</si>
  <si>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</si>
  <si>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</si>
  <si>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</si>
  <si>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</si>
  <si>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</si>
  <si>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</si>
  <si>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</si>
  <si>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</si>
  <si>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</si>
  <si>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</si>
  <si>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</si>
  <si>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</si>
  <si>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</si>
  <si>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</si>
  <si>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</si>
  <si>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</si>
  <si>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</si>
  <si>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</si>
  <si>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</si>
  <si>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</si>
  <si>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</si>
  <si>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</si>
  <si>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</si>
  <si>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</si>
  <si>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</si>
  <si>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</si>
  <si>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</si>
  <si>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</si>
  <si>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</si>
  <si>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</si>
  <si>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</si>
  <si>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</si>
  <si>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</si>
  <si>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</si>
  <si>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</si>
  <si>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</si>
  <si>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</si>
  <si>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</si>
  <si>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</si>
  <si>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</si>
  <si>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</si>
  <si>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</si>
  <si>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</si>
  <si>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</si>
  <si>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</si>
  <si>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</si>
  <si>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</si>
  <si>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</si>
  <si>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</si>
  <si>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</si>
  <si>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</si>
  <si>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</si>
  <si>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</si>
  <si>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</si>
  <si>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</si>
  <si>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</si>
  <si>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</si>
  <si>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</si>
  <si>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</si>
  <si>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</si>
  <si>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</si>
  <si>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</si>
  <si>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</si>
  <si>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</si>
  <si>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</si>
  <si>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</si>
  <si>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</si>
  <si>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</si>
  <si>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</si>
  <si>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</si>
  <si>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</si>
  <si>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</si>
  <si>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</si>
  <si>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</si>
  <si>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</si>
  <si>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</si>
  <si>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</si>
  <si>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</si>
  <si>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</si>
  <si>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</si>
  <si>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</si>
  <si>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</si>
  <si>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</si>
  <si>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</si>
  <si>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</si>
  <si>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</si>
  <si>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</si>
  <si>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</si>
  <si>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</si>
  <si>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</si>
  <si>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</si>
  <si>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</si>
  <si>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</si>
  <si>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</si>
  <si>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</si>
  <si>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</si>
  <si>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</si>
  <si>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</si>
  <si>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</si>
  <si>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</si>
  <si>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</si>
  <si>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</si>
  <si>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</si>
  <si>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</si>
  <si>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</si>
  <si>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</si>
  <si>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</si>
  <si>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</si>
  <si>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</si>
  <si>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</si>
  <si>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</si>
  <si>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</si>
  <si>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</si>
  <si>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</si>
  <si>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</si>
  <si>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</si>
  <si>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</si>
  <si>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</si>
  <si>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</si>
  <si>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</si>
  <si>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</si>
  <si>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</si>
  <si>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</si>
  <si>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</si>
  <si>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</si>
  <si>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</si>
  <si>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</si>
  <si>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</si>
  <si>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</si>
  <si>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</si>
  <si>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</si>
  <si>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</si>
  <si>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</si>
  <si>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</si>
  <si>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</si>
  <si>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</si>
  <si>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</si>
  <si>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</si>
  <si>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</si>
  <si>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</si>
  <si>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</si>
  <si>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</si>
  <si>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</si>
  <si>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</si>
  <si>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</si>
  <si>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</si>
  <si>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</si>
  <si>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</si>
  <si>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</si>
  <si>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</si>
  <si>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</si>
  <si>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</si>
  <si>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</si>
  <si>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</si>
  <si>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</si>
  <si>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</si>
  <si>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</si>
  <si>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</si>
  <si>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</si>
  <si>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</si>
  <si>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</si>
  <si>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</si>
  <si>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</si>
  <si>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</si>
  <si>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</si>
  <si>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</si>
  <si>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</si>
  <si>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</si>
  <si>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</si>
  <si>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</si>
  <si>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</si>
  <si>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</si>
  <si>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</si>
  <si>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</si>
  <si>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</si>
  <si>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</si>
  <si>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</si>
  <si>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</si>
  <si>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</si>
  <si>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</si>
  <si>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</si>
  <si>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</si>
  <si>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</si>
  <si>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</si>
  <si>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</si>
  <si>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</si>
  <si>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</si>
  <si>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</si>
  <si>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</si>
  <si>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</si>
  <si>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</si>
  <si>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</si>
  <si>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</si>
  <si>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</si>
  <si>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</si>
  <si>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</si>
  <si>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</si>
  <si>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</si>
  <si>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</si>
  <si>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</si>
  <si>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</si>
  <si>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</si>
  <si>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</si>
  <si>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</si>
  <si>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</si>
  <si>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</si>
  <si>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</si>
  <si>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</si>
  <si>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</si>
  <si>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</si>
  <si>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</si>
  <si>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</si>
  <si>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</si>
  <si>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</si>
  <si>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</si>
  <si>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</si>
  <si>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</si>
  <si>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</si>
  <si>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</si>
  <si>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</si>
  <si>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</si>
  <si>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</si>
  <si>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</si>
  <si>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</si>
  <si>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</si>
  <si>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</si>
  <si>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</si>
  <si>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</si>
  <si>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</si>
  <si>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</si>
  <si>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</si>
  <si>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</si>
  <si>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</si>
  <si>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</si>
  <si>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</si>
  <si>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</si>
  <si>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</si>
  <si>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</si>
  <si>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</si>
  <si>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</si>
  <si>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</si>
  <si>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</si>
  <si>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</si>
  <si>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</si>
  <si>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</si>
  <si>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</si>
  <si>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</si>
  <si>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</si>
  <si>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</si>
  <si>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</si>
  <si>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</si>
  <si>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</si>
  <si>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</si>
  <si>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</si>
  <si>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</si>
  <si>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</si>
  <si>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</si>
  <si>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</si>
  <si>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</si>
  <si>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</si>
  <si>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</si>
  <si>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</si>
  <si>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</si>
  <si>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</si>
  <si>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</si>
  <si>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</si>
  <si>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</si>
  <si>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</si>
  <si>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</si>
  <si>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</si>
  <si>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</si>
  <si>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</si>
  <si>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</si>
  <si>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</si>
  <si>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</si>
  <si>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</si>
  <si>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</si>
  <si>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</si>
  <si>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</si>
  <si>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</si>
  <si>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</si>
  <si>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</si>
  <si>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</si>
  <si>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</si>
  <si>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</si>
  <si>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</si>
  <si>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</si>
  <si>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</si>
  <si>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</si>
  <si>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</si>
  <si>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</si>
  <si>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</si>
  <si>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</si>
  <si>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</si>
  <si>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</si>
  <si>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</si>
  <si>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</si>
  <si>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</si>
  <si>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</si>
  <si>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</si>
  <si>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</si>
  <si>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</si>
  <si>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</si>
  <si>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</si>
  <si>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</si>
  <si>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</si>
  <si>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</si>
  <si>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</si>
  <si>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</si>
  <si>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</si>
  <si>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</si>
  <si>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</si>
  <si>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</si>
  <si>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</si>
  <si>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</si>
  <si>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</si>
  <si>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</si>
  <si>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</si>
  <si>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</si>
  <si>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</si>
  <si>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</si>
  <si>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</si>
  <si>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</si>
  <si>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</si>
  <si>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</si>
  <si>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</si>
  <si>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</si>
  <si>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</si>
  <si>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</si>
  <si>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</si>
  <si>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</si>
  <si>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</si>
  <si>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</si>
  <si>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</si>
  <si>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</si>
  <si>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</si>
  <si>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</si>
  <si>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</si>
  <si>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</si>
  <si>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</si>
  <si>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</si>
  <si>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</si>
  <si>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</si>
  <si>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</si>
  <si>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</si>
  <si>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</si>
  <si>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</si>
  <si>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</si>
  <si>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</si>
  <si>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</si>
  <si>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</si>
  <si>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</si>
  <si>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</si>
  <si>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</si>
  <si>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</si>
  <si>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</si>
  <si>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</si>
  <si>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</si>
  <si>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</si>
  <si>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</si>
  <si>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</si>
  <si>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</si>
  <si>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</si>
  <si>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</si>
  <si>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</si>
  <si>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</si>
  <si>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</si>
  <si>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</si>
  <si>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</si>
  <si>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</si>
  <si>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</si>
  <si>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</si>
  <si>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</si>
  <si>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</si>
  <si>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</si>
  <si>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</si>
  <si>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</si>
  <si>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</si>
  <si>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</si>
  <si>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</si>
  <si>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</si>
  <si>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</si>
  <si>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</si>
  <si>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</si>
  <si>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</si>
  <si>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</si>
  <si>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</si>
  <si>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</si>
  <si>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</si>
  <si>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</si>
  <si>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</si>
  <si>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</si>
  <si>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</si>
  <si>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</si>
  <si>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</si>
  <si>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</si>
  <si>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</si>
  <si>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</si>
  <si>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</si>
  <si>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</si>
  <si>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</si>
  <si>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</si>
  <si>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</si>
  <si>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</si>
  <si>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</si>
  <si>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</si>
  <si>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</si>
  <si>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</si>
  <si>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</si>
  <si>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</si>
  <si>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</si>
  <si>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</si>
  <si>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</si>
  <si>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</si>
  <si>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</si>
  <si>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</si>
  <si>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</si>
  <si>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</si>
  <si>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</si>
  <si>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</si>
  <si>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</si>
  <si>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</si>
  <si>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</si>
  <si>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</si>
  <si>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</si>
  <si>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</si>
  <si>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</si>
  <si>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</si>
  <si>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</si>
  <si>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</si>
  <si>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</si>
  <si>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</si>
  <si>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</si>
  <si>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</si>
  <si>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</si>
  <si>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</si>
  <si>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</si>
  <si>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</si>
  <si>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</si>
  <si>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</si>
  <si>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</si>
  <si>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</si>
  <si>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</si>
  <si>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</si>
  <si>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</si>
  <si>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</si>
  <si>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</si>
  <si>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</si>
  <si>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</si>
  <si>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</si>
  <si>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</si>
  <si>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</si>
  <si>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</si>
  <si>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</si>
  <si>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</si>
  <si>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</si>
  <si>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</si>
  <si>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</si>
  <si>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</si>
  <si>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</si>
  <si>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</si>
  <si>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</si>
  <si>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</si>
  <si>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</si>
  <si>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</si>
  <si>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</si>
  <si>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</si>
  <si>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</si>
  <si>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</si>
  <si>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</si>
  <si>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</si>
  <si>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</si>
  <si>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</si>
  <si>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</si>
  <si>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</si>
  <si>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</si>
  <si>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</si>
  <si>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</si>
  <si>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</si>
  <si>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</si>
  <si>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</si>
  <si>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</si>
  <si>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</si>
  <si>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</si>
  <si>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</si>
  <si>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</si>
  <si>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</si>
  <si>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</si>
  <si>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</si>
  <si>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</si>
  <si>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</si>
  <si>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</si>
  <si>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</si>
  <si>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</si>
  <si>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</si>
  <si>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</si>
  <si>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</si>
  <si>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</si>
  <si>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</si>
  <si>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</si>
  <si>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</si>
  <si>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</si>
  <si>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</si>
  <si>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</si>
  <si>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</si>
  <si>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</si>
  <si>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</si>
  <si>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</si>
  <si>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</si>
  <si>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</si>
  <si>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</si>
  <si>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</si>
  <si>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</si>
  <si>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</si>
  <si>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</si>
  <si>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</si>
  <si>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</si>
  <si>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</si>
  <si>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</si>
  <si>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</si>
  <si>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</si>
  <si>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</si>
  <si>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</si>
  <si>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</si>
  <si>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</si>
  <si>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</si>
  <si>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</si>
  <si>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</si>
  <si>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</si>
  <si>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</si>
  <si>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</si>
  <si>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</si>
  <si>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</si>
  <si>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</si>
  <si>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</si>
  <si>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</si>
  <si>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</si>
  <si>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</si>
  <si>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</si>
  <si>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</si>
  <si>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</si>
  <si>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</si>
  <si>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</si>
  <si>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</si>
  <si>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</si>
  <si>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</si>
  <si>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</si>
  <si>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</si>
  <si>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</si>
  <si>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</si>
  <si>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</si>
  <si>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</si>
  <si>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</si>
  <si>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</si>
  <si>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</si>
  <si>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</si>
  <si>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</si>
  <si>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</si>
  <si>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</si>
  <si>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</si>
  <si>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</si>
  <si>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</si>
  <si>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</si>
  <si>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</si>
  <si>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</si>
  <si>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</si>
  <si>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</si>
  <si>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</si>
  <si>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</si>
  <si>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</si>
  <si>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</si>
  <si>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</si>
  <si>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</si>
  <si>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</si>
  <si>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</si>
  <si>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</si>
  <si>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</si>
  <si>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</si>
  <si>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</si>
  <si>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</si>
  <si>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</si>
  <si>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</si>
  <si>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</si>
  <si>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</si>
  <si>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</si>
  <si>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</si>
  <si>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</si>
  <si>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</si>
  <si>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</si>
  <si>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</si>
  <si>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</si>
  <si>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</si>
  <si>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</si>
  <si>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</si>
  <si>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</si>
  <si>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</si>
  <si>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</si>
  <si>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</si>
  <si>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</si>
  <si>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</si>
  <si>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</si>
  <si>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</si>
  <si>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</si>
  <si>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</si>
  <si>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</si>
  <si>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</si>
  <si>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</si>
  <si>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</si>
  <si>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</si>
  <si>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</si>
  <si>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</si>
  <si>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</si>
  <si>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</si>
  <si>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</si>
  <si>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</si>
  <si>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</si>
  <si>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</si>
  <si>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</si>
  <si>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</si>
  <si>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</si>
  <si>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</si>
  <si>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</si>
  <si>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</si>
  <si>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</si>
  <si>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</si>
  <si>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</si>
  <si>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</si>
  <si>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</si>
  <si>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</si>
  <si>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</si>
  <si>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</si>
  <si>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</si>
  <si>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</si>
  <si>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</si>
  <si>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</si>
  <si>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</si>
  <si>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</si>
  <si>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</si>
  <si>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</si>
  <si>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</si>
  <si>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</si>
  <si>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</si>
  <si>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</si>
  <si>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</si>
  <si>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</si>
  <si>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</si>
  <si>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</si>
  <si>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</si>
  <si>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</si>
  <si>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</si>
  <si>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</si>
  <si>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</si>
  <si>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</si>
  <si>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</si>
  <si>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</si>
  <si>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</si>
  <si>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</si>
  <si>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</si>
  <si>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</si>
  <si>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</si>
  <si>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</si>
  <si>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</si>
  <si>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</si>
  <si>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</si>
  <si>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</si>
  <si>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</si>
  <si>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</si>
  <si>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</si>
  <si>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</si>
  <si>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</si>
  <si>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</si>
  <si>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</si>
  <si>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</si>
  <si>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</si>
  <si>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</si>
  <si>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</si>
  <si>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</si>
  <si>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</si>
  <si>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</si>
  <si>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</si>
  <si>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</si>
  <si>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</si>
  <si>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</si>
  <si>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</si>
  <si>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</si>
  <si>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</si>
  <si>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</si>
  <si>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</si>
  <si>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</si>
  <si>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</si>
  <si>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Row Labels</t>
  </si>
  <si>
    <t>Number of Items</t>
  </si>
  <si>
    <t>Average of Rating</t>
  </si>
  <si>
    <t>Total Sales</t>
  </si>
  <si>
    <t>Avg Sale</t>
  </si>
  <si>
    <t>No of items</t>
  </si>
  <si>
    <t>Avg Rating</t>
  </si>
  <si>
    <t>KPI's Requrements</t>
  </si>
  <si>
    <t>Total Sale By Fat Content</t>
  </si>
  <si>
    <t>Total Sales by item Types</t>
  </si>
  <si>
    <t>Column Labels</t>
  </si>
  <si>
    <t>Fat Content by Outlet for Total Sales</t>
  </si>
  <si>
    <t>Total Sales by Outlet Establishment</t>
  </si>
  <si>
    <t>Sales by Outlet Size</t>
  </si>
  <si>
    <t>Outlet Location</t>
  </si>
  <si>
    <t>Sales by Outlet Location</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</si>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</sst>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quot;$&quot;.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applyBorder="1"/>
    <xf numFmtId="0" fontId="0" fillId="0" borderId="22" xfId="0" applyBorder="1" applyAlignment="1">
      <alignment horizontal="left"/>
    </xf>
    <xf numFmtId="167" fontId="0" fillId="0" borderId="23" xfId="0" applyNumberFormat="1" applyBorder="1"/>
    <xf numFmtId="168" fontId="0" fillId="0" borderId="22" xfId="0" applyNumberFormat="1" applyBorder="1"/>
    <xf numFmtId="0" fontId="0" fillId="0" borderId="10" xfId="0" pivotButton="1" applyBorder="1"/>
    <xf numFmtId="167" fontId="0" fillId="0" borderId="22" xfId="0" applyNumberFormat="1" applyBorder="1"/>
    <xf numFmtId="167" fontId="0" fillId="0" borderId="24" xfId="0" applyNumberFormat="1" applyBorder="1"/>
    <xf numFmtId="167" fontId="0" fillId="0" borderId="0" xfId="0" applyNumberFormat="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8" fillId="33" borderId="11"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0" xfId="0" applyFill="1" applyBorder="1"/>
    <xf numFmtId="167" fontId="0" fillId="0" borderId="10" xfId="0" applyNumberFormat="1" applyBorder="1"/>
    <xf numFmtId="0" fontId="0" fillId="0" borderId="10" xfId="0" applyBorder="1" applyAlignment="1">
      <alignment horizontal="left"/>
    </xf>
    <xf numFmtId="164" fontId="0" fillId="0" borderId="10" xfId="0" applyNumberFormat="1" applyBorder="1"/>
    <xf numFmtId="1" fontId="0" fillId="0" borderId="10" xfId="0" applyNumberFormat="1" applyBorder="1"/>
    <xf numFmtId="168" fontId="0" fillId="0" borderId="19" xfId="0" applyNumberFormat="1" applyBorder="1"/>
    <xf numFmtId="167"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66">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numFmt numFmtId="167" formatCode="&quot;$&quot;0.0,&quot;K&quot;"/>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numFmt numFmtId="168" formatCode="&quot;$&quot;.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2B36E0E-6991-4B3D-8138-919D3AF89D7C}">
      <tableStyleElement type="wholeTable" dxfId="865"/>
      <tableStyleElement type="headerRow" dxfId="864"/>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7.1544715447154475E-2"/>
          <c:y val="0.12697239351105208"/>
          <c:w val="0.5294518916842712"/>
          <c:h val="0.78460942984536575"/>
        </c:manualLayout>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2C-4BF3-9F8A-07906310BD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2C-4BF3-9F8A-07906310BD65}"/>
              </c:ext>
            </c:extLst>
          </c:dPt>
          <c:cat>
            <c:strRef>
              <c:f>'Sheets Design'!$A$13:$A$14</c:f>
              <c:strCache>
                <c:ptCount val="2"/>
                <c:pt idx="0">
                  <c:v>Low Fat</c:v>
                </c:pt>
                <c:pt idx="1">
                  <c:v>Regular</c:v>
                </c:pt>
              </c:strCache>
            </c:strRef>
          </c:cat>
          <c:val>
            <c:numRef>
              <c:f>'Sheets Design'!$B$13:$B$14</c:f>
              <c:numCache>
                <c:formatCode>General</c:formatCode>
                <c:ptCount val="2"/>
                <c:pt idx="0">
                  <c:v>51084.156800000004</c:v>
                </c:pt>
                <c:pt idx="1">
                  <c:v>26964.157599999991</c:v>
                </c:pt>
              </c:numCache>
            </c:numRef>
          </c:val>
          <c:extLst>
            <c:ext xmlns:c16="http://schemas.microsoft.com/office/drawing/2014/chart" uri="{C3380CC4-5D6E-409C-BE32-E72D297353CC}">
              <c16:uniqueId val="{00000000-6A0A-45F7-9419-545752AA15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1"/>
            </a:solidFill>
            <a:ln>
              <a:noFill/>
            </a:ln>
            <a:effectLst/>
          </c:spPr>
          <c:invertIfNegative val="0"/>
          <c:cat>
            <c:strRef>
              <c:f>'Sheets Design'!$A$25</c:f>
              <c:strCache>
                <c:ptCount val="1"/>
                <c:pt idx="0">
                  <c:v>Tier 2</c:v>
                </c:pt>
              </c:strCache>
            </c:strRef>
          </c:cat>
          <c:val>
            <c:numRef>
              <c:f>'Sheets Design'!$B$25</c:f>
              <c:numCache>
                <c:formatCode>"$".0,"K"</c:formatCode>
                <c:ptCount val="1"/>
                <c:pt idx="0">
                  <c:v>26964.157599999991</c:v>
                </c:pt>
              </c:numCache>
            </c:numRef>
          </c:val>
          <c:extLst>
            <c:ext xmlns:c16="http://schemas.microsoft.com/office/drawing/2014/chart" uri="{C3380CC4-5D6E-409C-BE32-E72D297353CC}">
              <c16:uniqueId val="{00000000-105D-4A84-8EEF-44E508CD802B}"/>
            </c:ext>
          </c:extLst>
        </c:ser>
        <c:ser>
          <c:idx val="1"/>
          <c:order val="1"/>
          <c:tx>
            <c:strRef>
              <c:f>'Sheets Design'!$C$23:$C$24</c:f>
              <c:strCache>
                <c:ptCount val="1"/>
                <c:pt idx="0">
                  <c:v>Low Fat</c:v>
                </c:pt>
              </c:strCache>
            </c:strRef>
          </c:tx>
          <c:spPr>
            <a:solidFill>
              <a:schemeClr val="accent2"/>
            </a:solidFill>
            <a:ln>
              <a:noFill/>
            </a:ln>
            <a:effectLst/>
          </c:spPr>
          <c:invertIfNegative val="0"/>
          <c:cat>
            <c:strRef>
              <c:f>'Sheets Design'!$A$25</c:f>
              <c:strCache>
                <c:ptCount val="1"/>
                <c:pt idx="0">
                  <c:v>Tier 2</c:v>
                </c:pt>
              </c:strCache>
            </c:strRef>
          </c:cat>
          <c:val>
            <c:numRef>
              <c:f>'Sheets Design'!$C$25</c:f>
              <c:numCache>
                <c:formatCode>"$"0.0,"K"</c:formatCode>
                <c:ptCount val="1"/>
                <c:pt idx="0">
                  <c:v>51084.156800000004</c:v>
                </c:pt>
              </c:numCache>
            </c:numRef>
          </c:val>
          <c:extLst>
            <c:ext xmlns:c16="http://schemas.microsoft.com/office/drawing/2014/chart" uri="{C3380CC4-5D6E-409C-BE32-E72D297353CC}">
              <c16:uniqueId val="{00000001-105D-4A84-8EEF-44E508CD802B}"/>
            </c:ext>
          </c:extLst>
        </c:ser>
        <c:dLbls>
          <c:showLegendKey val="0"/>
          <c:showVal val="0"/>
          <c:showCatName val="0"/>
          <c:showSerName val="0"/>
          <c:showPercent val="0"/>
          <c:showBubbleSize val="0"/>
        </c:dLbls>
        <c:gapWidth val="182"/>
        <c:axId val="349061792"/>
        <c:axId val="349063712"/>
      </c:barChart>
      <c:catAx>
        <c:axId val="34906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063712"/>
        <c:crosses val="autoZero"/>
        <c:auto val="1"/>
        <c:lblAlgn val="ctr"/>
        <c:lblOffset val="100"/>
        <c:noMultiLvlLbl val="0"/>
      </c:catAx>
      <c:valAx>
        <c:axId val="349063712"/>
        <c:scaling>
          <c:orientation val="minMax"/>
        </c:scaling>
        <c:delete val="1"/>
        <c:axPos val="b"/>
        <c:numFmt formatCode="&quot;$&quot;.0,&quot;K&quot;" sourceLinked="1"/>
        <c:majorTickMark val="none"/>
        <c:minorTickMark val="none"/>
        <c:tickLblPos val="nextTo"/>
        <c:crossAx val="349061792"/>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Design'!$B$34</c:f>
              <c:strCache>
                <c:ptCount val="1"/>
                <c:pt idx="0">
                  <c:v>Total</c:v>
                </c:pt>
              </c:strCache>
            </c:strRef>
          </c:tx>
          <c:spPr>
            <a:solidFill>
              <a:schemeClr val="accent1"/>
            </a:solidFill>
            <a:ln>
              <a:noFill/>
            </a:ln>
            <a:effectLst/>
          </c:spPr>
          <c:invertIfNegative val="0"/>
          <c:cat>
            <c:strRef>
              <c:f>'Sheets Design'!$A$35:$A$50</c:f>
              <c:strCache>
                <c:ptCount val="16"/>
                <c:pt idx="0">
                  <c:v>Seafood</c:v>
                </c:pt>
                <c:pt idx="1">
                  <c:v>Others</c:v>
                </c:pt>
                <c:pt idx="2">
                  <c:v>Breakfast</c:v>
                </c:pt>
                <c:pt idx="3">
                  <c:v>Health and Hygiene</c:v>
                </c:pt>
                <c:pt idx="4">
                  <c:v>Starchy Foods</c:v>
                </c:pt>
                <c:pt idx="5">
                  <c:v>Soft Drinks</c:v>
                </c:pt>
                <c:pt idx="6">
                  <c:v>Breads</c:v>
                </c:pt>
                <c:pt idx="7">
                  <c:v>Hard Drinks</c:v>
                </c:pt>
                <c:pt idx="8">
                  <c:v>Household</c:v>
                </c:pt>
                <c:pt idx="9">
                  <c:v>Meat</c:v>
                </c:pt>
                <c:pt idx="10">
                  <c:v>Baking Goods</c:v>
                </c:pt>
                <c:pt idx="11">
                  <c:v>Canned</c:v>
                </c:pt>
                <c:pt idx="12">
                  <c:v>Frozen Foods</c:v>
                </c:pt>
                <c:pt idx="13">
                  <c:v>Dairy</c:v>
                </c:pt>
                <c:pt idx="14">
                  <c:v>Snack Foods</c:v>
                </c:pt>
                <c:pt idx="15">
                  <c:v>Fruits and Vegetables</c:v>
                </c:pt>
              </c:strCache>
            </c:strRef>
          </c:cat>
          <c:val>
            <c:numRef>
              <c:f>'Sheets Design'!$B$35:$B$50</c:f>
              <c:numCache>
                <c:formatCode>"$"0.0,"K"</c:formatCode>
                <c:ptCount val="16"/>
                <c:pt idx="0">
                  <c:v>392.95620000000002</c:v>
                </c:pt>
                <c:pt idx="1">
                  <c:v>712.61380000000008</c:v>
                </c:pt>
                <c:pt idx="2">
                  <c:v>1010.2528</c:v>
                </c:pt>
                <c:pt idx="3">
                  <c:v>1475.2733999999998</c:v>
                </c:pt>
                <c:pt idx="4">
                  <c:v>1528.3109999999999</c:v>
                </c:pt>
                <c:pt idx="5">
                  <c:v>2156.2261999999996</c:v>
                </c:pt>
                <c:pt idx="6">
                  <c:v>2571.4248000000007</c:v>
                </c:pt>
                <c:pt idx="7">
                  <c:v>2855.2136</c:v>
                </c:pt>
                <c:pt idx="8">
                  <c:v>4248.5486000000001</c:v>
                </c:pt>
                <c:pt idx="9">
                  <c:v>4336.6684000000005</c:v>
                </c:pt>
                <c:pt idx="10">
                  <c:v>4852.2898000000014</c:v>
                </c:pt>
                <c:pt idx="11">
                  <c:v>6114.5890000000009</c:v>
                </c:pt>
                <c:pt idx="12">
                  <c:v>6998.2973999999977</c:v>
                </c:pt>
                <c:pt idx="13">
                  <c:v>7834.284200000001</c:v>
                </c:pt>
                <c:pt idx="14">
                  <c:v>10817.957199999997</c:v>
                </c:pt>
                <c:pt idx="15">
                  <c:v>20143.408000000007</c:v>
                </c:pt>
              </c:numCache>
            </c:numRef>
          </c:val>
          <c:extLst>
            <c:ext xmlns:c16="http://schemas.microsoft.com/office/drawing/2014/chart" uri="{C3380CC4-5D6E-409C-BE32-E72D297353CC}">
              <c16:uniqueId val="{00000000-E785-4782-B732-91C88539DE0B}"/>
            </c:ext>
          </c:extLst>
        </c:ser>
        <c:dLbls>
          <c:showLegendKey val="0"/>
          <c:showVal val="0"/>
          <c:showCatName val="0"/>
          <c:showSerName val="0"/>
          <c:showPercent val="0"/>
          <c:showBubbleSize val="0"/>
        </c:dLbls>
        <c:gapWidth val="182"/>
        <c:axId val="498225776"/>
        <c:axId val="498242096"/>
      </c:barChart>
      <c:catAx>
        <c:axId val="49822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242096"/>
        <c:crosses val="autoZero"/>
        <c:auto val="1"/>
        <c:lblAlgn val="ctr"/>
        <c:lblOffset val="100"/>
        <c:noMultiLvlLbl val="0"/>
      </c:catAx>
      <c:valAx>
        <c:axId val="498242096"/>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22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Design!PivotTable8</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Design'!$B$54</c:f>
              <c:strCache>
                <c:ptCount val="1"/>
                <c:pt idx="0">
                  <c:v>Total</c:v>
                </c:pt>
              </c:strCache>
            </c:strRef>
          </c:tx>
          <c:spPr>
            <a:solidFill>
              <a:schemeClr val="accent1"/>
            </a:solidFill>
            <a:ln>
              <a:noFill/>
            </a:ln>
            <a:effectLst/>
          </c:spPr>
          <c:cat>
            <c:strRef>
              <c:f>'Sheets Design'!$A$55:$A$56</c:f>
              <c:strCache>
                <c:ptCount val="2"/>
                <c:pt idx="0">
                  <c:v>2020</c:v>
                </c:pt>
                <c:pt idx="1">
                  <c:v>2015</c:v>
                </c:pt>
              </c:strCache>
            </c:strRef>
          </c:cat>
          <c:val>
            <c:numRef>
              <c:f>'Sheets Design'!$B$55:$B$56</c:f>
              <c:numCache>
                <c:formatCode>"$"0.0,"K"</c:formatCode>
                <c:ptCount val="2"/>
                <c:pt idx="0">
                  <c:v>33925.87279999999</c:v>
                </c:pt>
                <c:pt idx="1">
                  <c:v>44122.441600000042</c:v>
                </c:pt>
              </c:numCache>
            </c:numRef>
          </c:val>
          <c:extLst>
            <c:ext xmlns:c16="http://schemas.microsoft.com/office/drawing/2014/chart" uri="{C3380CC4-5D6E-409C-BE32-E72D297353CC}">
              <c16:uniqueId val="{00000000-851F-4DD8-825E-13E85B2F4B4E}"/>
            </c:ext>
          </c:extLst>
        </c:ser>
        <c:dLbls>
          <c:showLegendKey val="0"/>
          <c:showVal val="0"/>
          <c:showCatName val="0"/>
          <c:showSerName val="0"/>
          <c:showPercent val="0"/>
          <c:showBubbleSize val="0"/>
        </c:dLbls>
        <c:axId val="204855440"/>
        <c:axId val="204855920"/>
      </c:areaChart>
      <c:catAx>
        <c:axId val="204855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55920"/>
        <c:crosses val="autoZero"/>
        <c:auto val="1"/>
        <c:lblAlgn val="ctr"/>
        <c:lblOffset val="100"/>
        <c:noMultiLvlLbl val="0"/>
      </c:catAx>
      <c:valAx>
        <c:axId val="204855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55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Design!PivotTable9</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CA-4722-9BA5-7311617416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CA-4722-9BA5-7311617416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CA-4722-9BA5-73116174166A}"/>
              </c:ext>
            </c:extLst>
          </c:dPt>
          <c:cat>
            <c:strRef>
              <c:f>'Sheets Design'!$A$69</c:f>
              <c:strCache>
                <c:ptCount val="1"/>
                <c:pt idx="0">
                  <c:v>Medium</c:v>
                </c:pt>
              </c:strCache>
            </c:strRef>
          </c:cat>
          <c:val>
            <c:numRef>
              <c:f>'Sheets Design'!$B$69</c:f>
              <c:numCache>
                <c:formatCode>"$"0.0,"K"</c:formatCode>
                <c:ptCount val="1"/>
                <c:pt idx="0">
                  <c:v>78048.314399999887</c:v>
                </c:pt>
              </c:numCache>
            </c:numRef>
          </c:val>
          <c:extLst>
            <c:ext xmlns:c16="http://schemas.microsoft.com/office/drawing/2014/chart" uri="{C3380CC4-5D6E-409C-BE32-E72D297353CC}">
              <c16:uniqueId val="{00000000-C8C2-4D92-A58E-D5675AA099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Design'!$B$91</c:f>
              <c:strCache>
                <c:ptCount val="1"/>
                <c:pt idx="0">
                  <c:v>Total</c:v>
                </c:pt>
              </c:strCache>
            </c:strRef>
          </c:tx>
          <c:spPr>
            <a:solidFill>
              <a:schemeClr val="accent1"/>
            </a:solidFill>
            <a:ln>
              <a:noFill/>
            </a:ln>
            <a:effectLst/>
          </c:spPr>
          <c:invertIfNegative val="0"/>
          <c:cat>
            <c:strRef>
              <c:f>'Sheets Design'!$A$92</c:f>
              <c:strCache>
                <c:ptCount val="1"/>
                <c:pt idx="0">
                  <c:v>Supermarket Type1</c:v>
                </c:pt>
              </c:strCache>
            </c:strRef>
          </c:cat>
          <c:val>
            <c:numRef>
              <c:f>'Sheets Design'!$B$92</c:f>
              <c:numCache>
                <c:formatCode>"$"0.0,"K"</c:formatCode>
                <c:ptCount val="1"/>
                <c:pt idx="0">
                  <c:v>78048.314399999887</c:v>
                </c:pt>
              </c:numCache>
            </c:numRef>
          </c:val>
          <c:extLst>
            <c:ext xmlns:c16="http://schemas.microsoft.com/office/drawing/2014/chart" uri="{C3380CC4-5D6E-409C-BE32-E72D297353CC}">
              <c16:uniqueId val="{00000000-72A3-4926-ADD8-820D4193AB18}"/>
            </c:ext>
          </c:extLst>
        </c:ser>
        <c:dLbls>
          <c:showLegendKey val="0"/>
          <c:showVal val="0"/>
          <c:showCatName val="0"/>
          <c:showSerName val="0"/>
          <c:showPercent val="0"/>
          <c:showBubbleSize val="0"/>
        </c:dLbls>
        <c:gapWidth val="182"/>
        <c:axId val="742210688"/>
        <c:axId val="742211168"/>
      </c:barChart>
      <c:catAx>
        <c:axId val="74221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11168"/>
        <c:crosses val="autoZero"/>
        <c:auto val="1"/>
        <c:lblAlgn val="ctr"/>
        <c:lblOffset val="100"/>
        <c:noMultiLvlLbl val="0"/>
      </c:catAx>
      <c:valAx>
        <c:axId val="742211168"/>
        <c:scaling>
          <c:orientation val="minMax"/>
        </c:scaling>
        <c:delete val="1"/>
        <c:axPos val="b"/>
        <c:numFmt formatCode="&quot;$&quot;0.0,&quot;K&quot;" sourceLinked="1"/>
        <c:majorTickMark val="none"/>
        <c:minorTickMark val="none"/>
        <c:tickLblPos val="nextTo"/>
        <c:crossAx val="74221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Design!PivotTable12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1"/>
            </a:solidFill>
            <a:ln>
              <a:noFill/>
            </a:ln>
            <a:effectLst/>
          </c:spPr>
          <c:invertIfNegative val="0"/>
          <c:cat>
            <c:strRef>
              <c:f>'Sheets Design'!$A$107</c:f>
              <c:strCache>
                <c:ptCount val="1"/>
                <c:pt idx="0">
                  <c:v>Supermarket Type1</c:v>
                </c:pt>
              </c:strCache>
            </c:strRef>
          </c:cat>
          <c:val>
            <c:numRef>
              <c:f>'Sheets Design'!$B$107</c:f>
              <c:numCache>
                <c:formatCode>"$"0</c:formatCode>
                <c:ptCount val="1"/>
                <c:pt idx="0">
                  <c:v>136.2099727748689</c:v>
                </c:pt>
              </c:numCache>
            </c:numRef>
          </c:val>
          <c:extLst>
            <c:ext xmlns:c16="http://schemas.microsoft.com/office/drawing/2014/chart" uri="{C3380CC4-5D6E-409C-BE32-E72D297353CC}">
              <c16:uniqueId val="{00000000-A345-47DD-9B2E-4903CB5320C1}"/>
            </c:ext>
          </c:extLst>
        </c:ser>
        <c:dLbls>
          <c:showLegendKey val="0"/>
          <c:showVal val="0"/>
          <c:showCatName val="0"/>
          <c:showSerName val="0"/>
          <c:showPercent val="0"/>
          <c:showBubbleSize val="0"/>
        </c:dLbls>
        <c:gapWidth val="182"/>
        <c:axId val="742252928"/>
        <c:axId val="742269728"/>
      </c:barChart>
      <c:catAx>
        <c:axId val="74225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69728"/>
        <c:crosses val="autoZero"/>
        <c:auto val="1"/>
        <c:lblAlgn val="ctr"/>
        <c:lblOffset val="100"/>
        <c:noMultiLvlLbl val="0"/>
      </c:catAx>
      <c:valAx>
        <c:axId val="742269728"/>
        <c:scaling>
          <c:orientation val="minMax"/>
        </c:scaling>
        <c:delete val="1"/>
        <c:axPos val="b"/>
        <c:numFmt formatCode="&quot;$&quot;0" sourceLinked="1"/>
        <c:majorTickMark val="none"/>
        <c:minorTickMark val="none"/>
        <c:tickLblPos val="nextTo"/>
        <c:crossAx val="74225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Design!PivotTable13</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Design'!$B$119</c:f>
              <c:strCache>
                <c:ptCount val="1"/>
                <c:pt idx="0">
                  <c:v>Total</c:v>
                </c:pt>
              </c:strCache>
            </c:strRef>
          </c:tx>
          <c:spPr>
            <a:solidFill>
              <a:schemeClr val="accent1"/>
            </a:solidFill>
            <a:ln>
              <a:noFill/>
            </a:ln>
            <a:effectLst/>
          </c:spPr>
          <c:invertIfNegative val="0"/>
          <c:cat>
            <c:strRef>
              <c:f>'Sheets Design'!$A$120</c:f>
              <c:strCache>
                <c:ptCount val="1"/>
                <c:pt idx="0">
                  <c:v>Supermarket Type1</c:v>
                </c:pt>
              </c:strCache>
            </c:strRef>
          </c:cat>
          <c:val>
            <c:numRef>
              <c:f>'Sheets Design'!$B$120</c:f>
              <c:numCache>
                <c:formatCode>0</c:formatCode>
                <c:ptCount val="1"/>
                <c:pt idx="0">
                  <c:v>573</c:v>
                </c:pt>
              </c:numCache>
            </c:numRef>
          </c:val>
          <c:extLst>
            <c:ext xmlns:c16="http://schemas.microsoft.com/office/drawing/2014/chart" uri="{C3380CC4-5D6E-409C-BE32-E72D297353CC}">
              <c16:uniqueId val="{00000000-6B2C-489B-ABF5-630130732FAA}"/>
            </c:ext>
          </c:extLst>
        </c:ser>
        <c:dLbls>
          <c:showLegendKey val="0"/>
          <c:showVal val="0"/>
          <c:showCatName val="0"/>
          <c:showSerName val="0"/>
          <c:showPercent val="0"/>
          <c:showBubbleSize val="0"/>
        </c:dLbls>
        <c:gapWidth val="182"/>
        <c:axId val="816564800"/>
        <c:axId val="816562400"/>
      </c:barChart>
      <c:catAx>
        <c:axId val="81656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62400"/>
        <c:crosses val="autoZero"/>
        <c:auto val="1"/>
        <c:lblAlgn val="ctr"/>
        <c:lblOffset val="100"/>
        <c:noMultiLvlLbl val="0"/>
      </c:catAx>
      <c:valAx>
        <c:axId val="816562400"/>
        <c:scaling>
          <c:orientation val="minMax"/>
        </c:scaling>
        <c:delete val="1"/>
        <c:axPos val="b"/>
        <c:numFmt formatCode="0" sourceLinked="1"/>
        <c:majorTickMark val="none"/>
        <c:minorTickMark val="none"/>
        <c:tickLblPos val="nextTo"/>
        <c:crossAx val="81656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982192849900663"/>
              <c:y val="9.8423315320919427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0982192849900663"/>
              <c:y val="-9.1861760966191489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27560763888889"/>
          <c:y val="0.17215120870163286"/>
          <c:w val="0.65071918402777784"/>
          <c:h val="0.76381638943373165"/>
        </c:manualLayout>
      </c:layout>
      <c:doughnutChart>
        <c:varyColors val="1"/>
        <c:ser>
          <c:idx val="0"/>
          <c:order val="0"/>
          <c:tx>
            <c:strRef>
              <c:f>'Sheets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0B8F-42F4-BA5E-D9CFFBCF77E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B8F-42F4-BA5E-D9CFFBCF77E7}"/>
              </c:ext>
            </c:extLst>
          </c:dPt>
          <c:dLbls>
            <c:dLbl>
              <c:idx val="0"/>
              <c:layout>
                <c:manualLayout>
                  <c:x val="0.10982192849900663"/>
                  <c:y val="9.8423315320919427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8F-42F4-BA5E-D9CFFBCF77E7}"/>
                </c:ext>
              </c:extLst>
            </c:dLbl>
            <c:dLbl>
              <c:idx val="1"/>
              <c:layout>
                <c:manualLayout>
                  <c:x val="-0.10982192849900663"/>
                  <c:y val="-9.1861760966191489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8F-42F4-BA5E-D9CFFBCF77E7}"/>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General</c:formatCode>
                <c:ptCount val="2"/>
                <c:pt idx="0">
                  <c:v>51084.156800000004</c:v>
                </c:pt>
                <c:pt idx="1">
                  <c:v>26964.157599999991</c:v>
                </c:pt>
              </c:numCache>
            </c:numRef>
          </c:val>
          <c:extLst>
            <c:ext xmlns:c16="http://schemas.microsoft.com/office/drawing/2014/chart" uri="{C3380CC4-5D6E-409C-BE32-E72D297353CC}">
              <c16:uniqueId val="{00000004-0B8F-42F4-BA5E-D9CFFBCF77E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Regular</c:v>
                </c:pt>
              </c:strCache>
            </c:strRef>
          </c:tx>
          <c:spPr>
            <a:solidFill>
              <a:schemeClr val="accent6">
                <a:lumMod val="75000"/>
              </a:schemeClr>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c:f>
              <c:strCache>
                <c:ptCount val="1"/>
                <c:pt idx="0">
                  <c:v>Tier 2</c:v>
                </c:pt>
              </c:strCache>
            </c:strRef>
          </c:cat>
          <c:val>
            <c:numRef>
              <c:f>'Sheets Design'!$B$25</c:f>
              <c:numCache>
                <c:formatCode>"$".0,"K"</c:formatCode>
                <c:ptCount val="1"/>
                <c:pt idx="0">
                  <c:v>26964.157599999991</c:v>
                </c:pt>
              </c:numCache>
            </c:numRef>
          </c:val>
          <c:extLst>
            <c:ext xmlns:c16="http://schemas.microsoft.com/office/drawing/2014/chart" uri="{C3380CC4-5D6E-409C-BE32-E72D297353CC}">
              <c16:uniqueId val="{00000000-105D-4A84-8EEF-44E508CD802B}"/>
            </c:ext>
          </c:extLst>
        </c:ser>
        <c:ser>
          <c:idx val="1"/>
          <c:order val="1"/>
          <c:tx>
            <c:strRef>
              <c:f>'Sheets Design'!$C$23:$C$24</c:f>
              <c:strCache>
                <c:ptCount val="1"/>
                <c:pt idx="0">
                  <c:v>Low Fat</c:v>
                </c:pt>
              </c:strCache>
            </c:strRef>
          </c:tx>
          <c:spPr>
            <a:solidFill>
              <a:srgbClr val="D09E00"/>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c:f>
              <c:strCache>
                <c:ptCount val="1"/>
                <c:pt idx="0">
                  <c:v>Tier 2</c:v>
                </c:pt>
              </c:strCache>
            </c:strRef>
          </c:cat>
          <c:val>
            <c:numRef>
              <c:f>'Sheets Design'!$C$25</c:f>
              <c:numCache>
                <c:formatCode>"$"0.0,"K"</c:formatCode>
                <c:ptCount val="1"/>
                <c:pt idx="0">
                  <c:v>51084.156800000004</c:v>
                </c:pt>
              </c:numCache>
            </c:numRef>
          </c:val>
          <c:extLst>
            <c:ext xmlns:c16="http://schemas.microsoft.com/office/drawing/2014/chart" uri="{C3380CC4-5D6E-409C-BE32-E72D297353CC}">
              <c16:uniqueId val="{00000001-105D-4A84-8EEF-44E508CD802B}"/>
            </c:ext>
          </c:extLst>
        </c:ser>
        <c:dLbls>
          <c:dLblPos val="outEnd"/>
          <c:showLegendKey val="0"/>
          <c:showVal val="1"/>
          <c:showCatName val="0"/>
          <c:showSerName val="0"/>
          <c:showPercent val="0"/>
          <c:showBubbleSize val="0"/>
        </c:dLbls>
        <c:gapWidth val="60"/>
        <c:axId val="349061792"/>
        <c:axId val="349063712"/>
      </c:barChart>
      <c:catAx>
        <c:axId val="34906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063712"/>
        <c:crosses val="autoZero"/>
        <c:auto val="1"/>
        <c:lblAlgn val="ctr"/>
        <c:lblOffset val="100"/>
        <c:noMultiLvlLbl val="0"/>
      </c:catAx>
      <c:valAx>
        <c:axId val="349063712"/>
        <c:scaling>
          <c:orientation val="minMax"/>
        </c:scaling>
        <c:delete val="1"/>
        <c:axPos val="b"/>
        <c:numFmt formatCode="&quot;$&quot;.0,&quot;K&quot;" sourceLinked="1"/>
        <c:majorTickMark val="none"/>
        <c:minorTickMark val="none"/>
        <c:tickLblPos val="nextTo"/>
        <c:crossAx val="349061792"/>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Design'!$B$34</c:f>
              <c:strCache>
                <c:ptCount val="1"/>
                <c:pt idx="0">
                  <c:v>Total</c:v>
                </c:pt>
              </c:strCache>
            </c:strRef>
          </c:tx>
          <c:spPr>
            <a:solidFill>
              <a:srgbClr val="D0AC2C"/>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Design'!$A$35:$A$50</c:f>
              <c:strCache>
                <c:ptCount val="16"/>
                <c:pt idx="0">
                  <c:v>Seafood</c:v>
                </c:pt>
                <c:pt idx="1">
                  <c:v>Others</c:v>
                </c:pt>
                <c:pt idx="2">
                  <c:v>Breakfast</c:v>
                </c:pt>
                <c:pt idx="3">
                  <c:v>Health and Hygiene</c:v>
                </c:pt>
                <c:pt idx="4">
                  <c:v>Starchy Foods</c:v>
                </c:pt>
                <c:pt idx="5">
                  <c:v>Soft Drinks</c:v>
                </c:pt>
                <c:pt idx="6">
                  <c:v>Breads</c:v>
                </c:pt>
                <c:pt idx="7">
                  <c:v>Hard Drinks</c:v>
                </c:pt>
                <c:pt idx="8">
                  <c:v>Household</c:v>
                </c:pt>
                <c:pt idx="9">
                  <c:v>Meat</c:v>
                </c:pt>
                <c:pt idx="10">
                  <c:v>Baking Goods</c:v>
                </c:pt>
                <c:pt idx="11">
                  <c:v>Canned</c:v>
                </c:pt>
                <c:pt idx="12">
                  <c:v>Frozen Foods</c:v>
                </c:pt>
                <c:pt idx="13">
                  <c:v>Dairy</c:v>
                </c:pt>
                <c:pt idx="14">
                  <c:v>Snack Foods</c:v>
                </c:pt>
                <c:pt idx="15">
                  <c:v>Fruits and Vegetables</c:v>
                </c:pt>
              </c:strCache>
            </c:strRef>
          </c:cat>
          <c:val>
            <c:numRef>
              <c:f>'Sheets Design'!$B$35:$B$50</c:f>
              <c:numCache>
                <c:formatCode>"$"0.0,"K"</c:formatCode>
                <c:ptCount val="16"/>
                <c:pt idx="0">
                  <c:v>392.95620000000002</c:v>
                </c:pt>
                <c:pt idx="1">
                  <c:v>712.61380000000008</c:v>
                </c:pt>
                <c:pt idx="2">
                  <c:v>1010.2528</c:v>
                </c:pt>
                <c:pt idx="3">
                  <c:v>1475.2733999999998</c:v>
                </c:pt>
                <c:pt idx="4">
                  <c:v>1528.3109999999999</c:v>
                </c:pt>
                <c:pt idx="5">
                  <c:v>2156.2261999999996</c:v>
                </c:pt>
                <c:pt idx="6">
                  <c:v>2571.4248000000007</c:v>
                </c:pt>
                <c:pt idx="7">
                  <c:v>2855.2136</c:v>
                </c:pt>
                <c:pt idx="8">
                  <c:v>4248.5486000000001</c:v>
                </c:pt>
                <c:pt idx="9">
                  <c:v>4336.6684000000005</c:v>
                </c:pt>
                <c:pt idx="10">
                  <c:v>4852.2898000000014</c:v>
                </c:pt>
                <c:pt idx="11">
                  <c:v>6114.5890000000009</c:v>
                </c:pt>
                <c:pt idx="12">
                  <c:v>6998.2973999999977</c:v>
                </c:pt>
                <c:pt idx="13">
                  <c:v>7834.284200000001</c:v>
                </c:pt>
                <c:pt idx="14">
                  <c:v>10817.957199999997</c:v>
                </c:pt>
                <c:pt idx="15">
                  <c:v>20143.408000000007</c:v>
                </c:pt>
              </c:numCache>
            </c:numRef>
          </c:val>
          <c:extLst>
            <c:ext xmlns:c16="http://schemas.microsoft.com/office/drawing/2014/chart" uri="{C3380CC4-5D6E-409C-BE32-E72D297353CC}">
              <c16:uniqueId val="{00000000-0154-4B5D-84A5-9D8C8E97ADC9}"/>
            </c:ext>
          </c:extLst>
        </c:ser>
        <c:dLbls>
          <c:dLblPos val="outEnd"/>
          <c:showLegendKey val="0"/>
          <c:showVal val="1"/>
          <c:showCatName val="0"/>
          <c:showSerName val="0"/>
          <c:showPercent val="0"/>
          <c:showBubbleSize val="0"/>
        </c:dLbls>
        <c:gapWidth val="52"/>
        <c:axId val="498225776"/>
        <c:axId val="498242096"/>
      </c:barChart>
      <c:catAx>
        <c:axId val="49822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98242096"/>
        <c:crosses val="autoZero"/>
        <c:auto val="1"/>
        <c:lblAlgn val="ctr"/>
        <c:lblOffset val="100"/>
        <c:noMultiLvlLbl val="0"/>
      </c:catAx>
      <c:valAx>
        <c:axId val="498242096"/>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22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Design!PivotTable8</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36024844720496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91925465838509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91925465838509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372881355932203E-3"/>
              <c:y val="-0.316770186335403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186440677965325E-3"/>
              <c:y val="-0.291925465838509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186440677965325E-3"/>
              <c:y val="-0.316770186335403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4745762711864406E-3"/>
              <c:y val="-0.35403726708074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3305084745762868E-2"/>
              <c:y val="-0.42857142857142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372881355932203E-3"/>
              <c:y val="-0.33540372670807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Design'!$B$54</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B5F7-4A9C-B227-41C1E137C86E}"/>
              </c:ext>
            </c:extLst>
          </c:dPt>
          <c:dPt>
            <c:idx val="1"/>
            <c:bubble3D val="0"/>
            <c:extLst>
              <c:ext xmlns:c16="http://schemas.microsoft.com/office/drawing/2014/chart" uri="{C3380CC4-5D6E-409C-BE32-E72D297353CC}">
                <c16:uniqueId val="{00000009-B5F7-4A9C-B227-41C1E137C86E}"/>
              </c:ext>
            </c:extLst>
          </c:dPt>
          <c:dPt>
            <c:idx val="2"/>
            <c:bubble3D val="0"/>
            <c:extLst>
              <c:ext xmlns:c16="http://schemas.microsoft.com/office/drawing/2014/chart" uri="{C3380CC4-5D6E-409C-BE32-E72D297353CC}">
                <c16:uniqueId val="{00000002-B5F7-4A9C-B227-41C1E137C86E}"/>
              </c:ext>
            </c:extLst>
          </c:dPt>
          <c:dPt>
            <c:idx val="3"/>
            <c:bubble3D val="0"/>
            <c:extLst>
              <c:ext xmlns:c16="http://schemas.microsoft.com/office/drawing/2014/chart" uri="{C3380CC4-5D6E-409C-BE32-E72D297353CC}">
                <c16:uniqueId val="{00000003-B5F7-4A9C-B227-41C1E137C86E}"/>
              </c:ext>
            </c:extLst>
          </c:dPt>
          <c:dPt>
            <c:idx val="4"/>
            <c:bubble3D val="0"/>
            <c:extLst>
              <c:ext xmlns:c16="http://schemas.microsoft.com/office/drawing/2014/chart" uri="{C3380CC4-5D6E-409C-BE32-E72D297353CC}">
                <c16:uniqueId val="{00000004-B5F7-4A9C-B227-41C1E137C86E}"/>
              </c:ext>
            </c:extLst>
          </c:dPt>
          <c:dPt>
            <c:idx val="5"/>
            <c:bubble3D val="0"/>
            <c:extLst>
              <c:ext xmlns:c16="http://schemas.microsoft.com/office/drawing/2014/chart" uri="{C3380CC4-5D6E-409C-BE32-E72D297353CC}">
                <c16:uniqueId val="{00000005-B5F7-4A9C-B227-41C1E137C86E}"/>
              </c:ext>
            </c:extLst>
          </c:dPt>
          <c:dPt>
            <c:idx val="6"/>
            <c:bubble3D val="0"/>
            <c:extLst>
              <c:ext xmlns:c16="http://schemas.microsoft.com/office/drawing/2014/chart" uri="{C3380CC4-5D6E-409C-BE32-E72D297353CC}">
                <c16:uniqueId val="{00000006-B5F7-4A9C-B227-41C1E137C86E}"/>
              </c:ext>
            </c:extLst>
          </c:dPt>
          <c:dPt>
            <c:idx val="7"/>
            <c:bubble3D val="0"/>
            <c:extLst>
              <c:ext xmlns:c16="http://schemas.microsoft.com/office/drawing/2014/chart" uri="{C3380CC4-5D6E-409C-BE32-E72D297353CC}">
                <c16:uniqueId val="{00000007-B5F7-4A9C-B227-41C1E137C86E}"/>
              </c:ext>
            </c:extLst>
          </c:dPt>
          <c:dPt>
            <c:idx val="8"/>
            <c:bubble3D val="0"/>
            <c:extLst>
              <c:ext xmlns:c16="http://schemas.microsoft.com/office/drawing/2014/chart" uri="{C3380CC4-5D6E-409C-BE32-E72D297353CC}">
                <c16:uniqueId val="{00000008-B5F7-4A9C-B227-41C1E137C86E}"/>
              </c:ext>
            </c:extLst>
          </c:dPt>
          <c:dLbls>
            <c:dLbl>
              <c:idx val="0"/>
              <c:layout>
                <c:manualLayout>
                  <c:x val="-4.2372881355932203E-3"/>
                  <c:y val="-0.33540372670807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F7-4A9C-B227-41C1E137C86E}"/>
                </c:ext>
              </c:extLst>
            </c:dLbl>
            <c:dLbl>
              <c:idx val="1"/>
              <c:layout>
                <c:manualLayout>
                  <c:x val="0"/>
                  <c:y val="-0.291925465838509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F7-4A9C-B227-41C1E137C8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Design'!$A$55:$A$56</c:f>
              <c:strCache>
                <c:ptCount val="2"/>
                <c:pt idx="0">
                  <c:v>2020</c:v>
                </c:pt>
                <c:pt idx="1">
                  <c:v>2015</c:v>
                </c:pt>
              </c:strCache>
            </c:strRef>
          </c:cat>
          <c:val>
            <c:numRef>
              <c:f>'Sheets Design'!$B$55:$B$56</c:f>
              <c:numCache>
                <c:formatCode>"$"0.0,"K"</c:formatCode>
                <c:ptCount val="2"/>
                <c:pt idx="0">
                  <c:v>33925.87279999999</c:v>
                </c:pt>
                <c:pt idx="1">
                  <c:v>44122.441600000042</c:v>
                </c:pt>
              </c:numCache>
            </c:numRef>
          </c:val>
          <c:extLst>
            <c:ext xmlns:c16="http://schemas.microsoft.com/office/drawing/2014/chart" uri="{C3380CC4-5D6E-409C-BE32-E72D297353CC}">
              <c16:uniqueId val="{00000000-B5F7-4A9C-B227-41C1E137C86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a:outerShdw blurRad="50800" dist="50800" dir="5400000" algn="ctr" rotWithShape="0">
                <a:schemeClr val="bg1">
                  <a:lumMod val="50000"/>
                </a:schemeClr>
              </a:outerShdw>
            </a:effectLst>
          </c:spPr>
        </c:dropLines>
        <c:axId val="204855440"/>
        <c:axId val="204855920"/>
      </c:areaChart>
      <c:catAx>
        <c:axId val="2048554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204855920"/>
        <c:crosses val="autoZero"/>
        <c:auto val="1"/>
        <c:lblAlgn val="ctr"/>
        <c:lblOffset val="100"/>
        <c:noMultiLvlLbl val="0"/>
      </c:catAx>
      <c:valAx>
        <c:axId val="204855920"/>
        <c:scaling>
          <c:orientation val="minMax"/>
        </c:scaling>
        <c:delete val="1"/>
        <c:axPos val="l"/>
        <c:numFmt formatCode="&quot;$&quot;0.0,&quot;K&quot;" sourceLinked="1"/>
        <c:majorTickMark val="out"/>
        <c:minorTickMark val="none"/>
        <c:tickLblPos val="nextTo"/>
        <c:crossAx val="20485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Design!PivotTable9</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164334463568283"/>
              <c:y val="7.21385229694032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521413596885294"/>
              <c:y val="5.6444444444444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0459718478586404"/>
              <c:y val="-9.59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223757112908057"/>
          <c:y val="0.14605066666666669"/>
          <c:w val="0.70027927523210554"/>
          <c:h val="0.80879377777777772"/>
        </c:manualLayout>
      </c:layout>
      <c:doughnutChart>
        <c:varyColors val="1"/>
        <c:ser>
          <c:idx val="0"/>
          <c:order val="0"/>
          <c:tx>
            <c:strRef>
              <c:f>'Sheets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FD-45F4-A78A-DFC69107DA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FD-45F4-A78A-DFC69107DA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FD-45F4-A78A-DFC69107DA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Design'!$A$69</c:f>
              <c:strCache>
                <c:ptCount val="1"/>
                <c:pt idx="0">
                  <c:v>Medium</c:v>
                </c:pt>
              </c:strCache>
            </c:strRef>
          </c:cat>
          <c:val>
            <c:numRef>
              <c:f>'Sheets Design'!$B$69</c:f>
              <c:numCache>
                <c:formatCode>"$"0.0,"K"</c:formatCode>
                <c:ptCount val="1"/>
                <c:pt idx="0">
                  <c:v>78048.314399999887</c:v>
                </c:pt>
              </c:numCache>
            </c:numRef>
          </c:val>
          <c:extLst>
            <c:ext xmlns:c16="http://schemas.microsoft.com/office/drawing/2014/chart" uri="{C3380CC4-5D6E-409C-BE32-E72D297353CC}">
              <c16:uniqueId val="{00000006-B1FD-45F4-A78A-DFC69107DA05}"/>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Design'!$A$92</c:f>
              <c:strCache>
                <c:ptCount val="1"/>
                <c:pt idx="0">
                  <c:v>Supermarket Type1</c:v>
                </c:pt>
              </c:strCache>
            </c:strRef>
          </c:cat>
          <c:val>
            <c:numRef>
              <c:f>'Sheets Design'!$B$92</c:f>
              <c:numCache>
                <c:formatCode>"$"0.0,"K"</c:formatCode>
                <c:ptCount val="1"/>
                <c:pt idx="0">
                  <c:v>78048.314399999887</c:v>
                </c:pt>
              </c:numCache>
            </c:numRef>
          </c:val>
          <c:extLst>
            <c:ext xmlns:c16="http://schemas.microsoft.com/office/drawing/2014/chart" uri="{C3380CC4-5D6E-409C-BE32-E72D297353CC}">
              <c16:uniqueId val="{00000000-8273-4C18-B44E-F3EF556D5B52}"/>
            </c:ext>
          </c:extLst>
        </c:ser>
        <c:dLbls>
          <c:showLegendKey val="0"/>
          <c:showVal val="0"/>
          <c:showCatName val="0"/>
          <c:showSerName val="0"/>
          <c:showPercent val="0"/>
          <c:showBubbleSize val="0"/>
        </c:dLbls>
        <c:gapWidth val="60"/>
        <c:axId val="742210688"/>
        <c:axId val="742211168"/>
      </c:barChart>
      <c:catAx>
        <c:axId val="74221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11168"/>
        <c:crosses val="autoZero"/>
        <c:auto val="1"/>
        <c:lblAlgn val="ctr"/>
        <c:lblOffset val="100"/>
        <c:noMultiLvlLbl val="0"/>
      </c:catAx>
      <c:valAx>
        <c:axId val="742211168"/>
        <c:scaling>
          <c:orientation val="minMax"/>
        </c:scaling>
        <c:delete val="1"/>
        <c:axPos val="b"/>
        <c:numFmt formatCode="&quot;$&quot;0.0,&quot;K&quot;" sourceLinked="1"/>
        <c:majorTickMark val="none"/>
        <c:minorTickMark val="none"/>
        <c:tickLblPos val="nextTo"/>
        <c:crossAx val="74221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Design!PivotTable12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c:f>
              <c:strCache>
                <c:ptCount val="1"/>
                <c:pt idx="0">
                  <c:v>Supermarket Type1</c:v>
                </c:pt>
              </c:strCache>
            </c:strRef>
          </c:cat>
          <c:val>
            <c:numRef>
              <c:f>'Sheets Design'!$B$107</c:f>
              <c:numCache>
                <c:formatCode>"$"0</c:formatCode>
                <c:ptCount val="1"/>
                <c:pt idx="0">
                  <c:v>136.2099727748689</c:v>
                </c:pt>
              </c:numCache>
            </c:numRef>
          </c:val>
          <c:extLst>
            <c:ext xmlns:c16="http://schemas.microsoft.com/office/drawing/2014/chart" uri="{C3380CC4-5D6E-409C-BE32-E72D297353CC}">
              <c16:uniqueId val="{00000000-886D-4794-BD80-9F9BFF0A7DB2}"/>
            </c:ext>
          </c:extLst>
        </c:ser>
        <c:dLbls>
          <c:dLblPos val="outEnd"/>
          <c:showLegendKey val="0"/>
          <c:showVal val="1"/>
          <c:showCatName val="0"/>
          <c:showSerName val="0"/>
          <c:showPercent val="0"/>
          <c:showBubbleSize val="0"/>
        </c:dLbls>
        <c:gapWidth val="60"/>
        <c:axId val="742252928"/>
        <c:axId val="742269728"/>
      </c:barChart>
      <c:catAx>
        <c:axId val="742252928"/>
        <c:scaling>
          <c:orientation val="minMax"/>
        </c:scaling>
        <c:delete val="1"/>
        <c:axPos val="l"/>
        <c:numFmt formatCode="General" sourceLinked="1"/>
        <c:majorTickMark val="none"/>
        <c:minorTickMark val="none"/>
        <c:tickLblPos val="nextTo"/>
        <c:crossAx val="742269728"/>
        <c:crosses val="autoZero"/>
        <c:auto val="1"/>
        <c:lblAlgn val="ctr"/>
        <c:lblOffset val="100"/>
        <c:noMultiLvlLbl val="0"/>
      </c:catAx>
      <c:valAx>
        <c:axId val="742269728"/>
        <c:scaling>
          <c:orientation val="minMax"/>
        </c:scaling>
        <c:delete val="1"/>
        <c:axPos val="b"/>
        <c:numFmt formatCode="&quot;$&quot;0" sourceLinked="1"/>
        <c:majorTickMark val="none"/>
        <c:minorTickMark val="none"/>
        <c:tickLblPos val="nextTo"/>
        <c:crossAx val="74225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 File.xlsx]Sheets Design!PivotTable13</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56451612903227"/>
                  <c:h val="0.17204216269841269"/>
                </c:manualLayout>
              </c15:layout>
            </c:ext>
          </c:extLst>
        </c:dLbl>
      </c:pivotFmt>
    </c:pivotFmts>
    <c:plotArea>
      <c:layout>
        <c:manualLayout>
          <c:layoutTarget val="inner"/>
          <c:xMode val="edge"/>
          <c:yMode val="edge"/>
          <c:x val="2.9197080291970802E-2"/>
          <c:y val="6.9295634920634924E-2"/>
          <c:w val="0.96350364963503654"/>
          <c:h val="0.86140873015873021"/>
        </c:manualLayout>
      </c:layout>
      <c:barChart>
        <c:barDir val="bar"/>
        <c:grouping val="clustered"/>
        <c:varyColors val="0"/>
        <c:ser>
          <c:idx val="0"/>
          <c:order val="0"/>
          <c:tx>
            <c:strRef>
              <c:f>'Sheets Design'!$B$119</c:f>
              <c:strCache>
                <c:ptCount val="1"/>
                <c:pt idx="0">
                  <c:v>Total</c:v>
                </c:pt>
              </c:strCache>
            </c:strRef>
          </c:tx>
          <c:spPr>
            <a:solidFill>
              <a:srgbClr val="D09E00"/>
            </a:solidFill>
            <a:ln>
              <a:noFill/>
            </a:ln>
            <a:effectLst/>
          </c:spPr>
          <c:invertIfNegative val="0"/>
          <c:dPt>
            <c:idx val="3"/>
            <c:invertIfNegative val="0"/>
            <c:bubble3D val="0"/>
            <c:extLst>
              <c:ext xmlns:c16="http://schemas.microsoft.com/office/drawing/2014/chart" uri="{C3380CC4-5D6E-409C-BE32-E72D297353CC}">
                <c16:uniqueId val="{00000001-B749-49C1-ABF9-C4B1983AE159}"/>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Design'!$A$120</c:f>
              <c:strCache>
                <c:ptCount val="1"/>
                <c:pt idx="0">
                  <c:v>Supermarket Type1</c:v>
                </c:pt>
              </c:strCache>
            </c:strRef>
          </c:cat>
          <c:val>
            <c:numRef>
              <c:f>'Sheets Design'!$B$120</c:f>
              <c:numCache>
                <c:formatCode>0</c:formatCode>
                <c:ptCount val="1"/>
                <c:pt idx="0">
                  <c:v>573</c:v>
                </c:pt>
              </c:numCache>
            </c:numRef>
          </c:val>
          <c:extLst>
            <c:ext xmlns:c16="http://schemas.microsoft.com/office/drawing/2014/chart" uri="{C3380CC4-5D6E-409C-BE32-E72D297353CC}">
              <c16:uniqueId val="{00000000-B749-49C1-ABF9-C4B1983AE159}"/>
            </c:ext>
          </c:extLst>
        </c:ser>
        <c:dLbls>
          <c:dLblPos val="outEnd"/>
          <c:showLegendKey val="0"/>
          <c:showVal val="1"/>
          <c:showCatName val="0"/>
          <c:showSerName val="0"/>
          <c:showPercent val="0"/>
          <c:showBubbleSize val="0"/>
        </c:dLbls>
        <c:gapWidth val="60"/>
        <c:axId val="816564800"/>
        <c:axId val="816562400"/>
      </c:barChart>
      <c:catAx>
        <c:axId val="816564800"/>
        <c:scaling>
          <c:orientation val="minMax"/>
        </c:scaling>
        <c:delete val="1"/>
        <c:axPos val="l"/>
        <c:numFmt formatCode="General" sourceLinked="1"/>
        <c:majorTickMark val="none"/>
        <c:minorTickMark val="none"/>
        <c:tickLblPos val="nextTo"/>
        <c:crossAx val="816562400"/>
        <c:crosses val="autoZero"/>
        <c:auto val="1"/>
        <c:lblAlgn val="ctr"/>
        <c:lblOffset val="100"/>
        <c:noMultiLvlLbl val="0"/>
      </c:catAx>
      <c:valAx>
        <c:axId val="816562400"/>
        <c:scaling>
          <c:orientation val="minMax"/>
        </c:scaling>
        <c:delete val="1"/>
        <c:axPos val="b"/>
        <c:numFmt formatCode="0" sourceLinked="1"/>
        <c:majorTickMark val="none"/>
        <c:minorTickMark val="none"/>
        <c:tickLblPos val="nextTo"/>
        <c:crossAx val="81656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latin typeface="Segoe UI Black" panose="020B0A02040204020203" pitchFamily="34" charset="0"/>
          <a:ea typeface="Segoe UI Black" panose="020B0A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36C01F9-9A97-4C26-AF12-7CE84FC43E2F}">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36C01F9-9A97-4C26-AF12-7CE84FC43E2F}">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editAs="oneCell">
    <xdr:from>
      <xdr:col>6</xdr:col>
      <xdr:colOff>120650</xdr:colOff>
      <xdr:row>4</xdr:row>
      <xdr:rowOff>158751</xdr:rowOff>
    </xdr:from>
    <xdr:to>
      <xdr:col>8</xdr:col>
      <xdr:colOff>628650</xdr:colOff>
      <xdr:row>12</xdr:row>
      <xdr:rowOff>63501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507F4C94-2D1E-F7F9-36AB-3B53D540A47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429250" y="971551"/>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282575</xdr:colOff>
      <xdr:row>11</xdr:row>
      <xdr:rowOff>15875</xdr:rowOff>
    </xdr:from>
    <xdr:to>
      <xdr:col>3</xdr:col>
      <xdr:colOff>1168400</xdr:colOff>
      <xdr:row>17</xdr:row>
      <xdr:rowOff>190500</xdr:rowOff>
    </xdr:to>
    <xdr:graphicFrame macro="">
      <xdr:nvGraphicFramePr>
        <xdr:cNvPr id="3" name="Chart 2">
          <a:extLst>
            <a:ext uri="{FF2B5EF4-FFF2-40B4-BE49-F238E27FC236}">
              <a16:creationId xmlns:a16="http://schemas.microsoft.com/office/drawing/2014/main" id="{D2A4C8D9-391A-D5E0-1B40-A23E2834C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21</xdr:row>
      <xdr:rowOff>200025</xdr:rowOff>
    </xdr:from>
    <xdr:to>
      <xdr:col>7</xdr:col>
      <xdr:colOff>641350</xdr:colOff>
      <xdr:row>30</xdr:row>
      <xdr:rowOff>196850</xdr:rowOff>
    </xdr:to>
    <xdr:graphicFrame macro="">
      <xdr:nvGraphicFramePr>
        <xdr:cNvPr id="4" name="Chart 3">
          <a:extLst>
            <a:ext uri="{FF2B5EF4-FFF2-40B4-BE49-F238E27FC236}">
              <a16:creationId xmlns:a16="http://schemas.microsoft.com/office/drawing/2014/main" id="{52A934C7-BBDD-B387-DDA1-F7963CBC9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33</xdr:row>
      <xdr:rowOff>15874</xdr:rowOff>
    </xdr:from>
    <xdr:to>
      <xdr:col>8</xdr:col>
      <xdr:colOff>654050</xdr:colOff>
      <xdr:row>49</xdr:row>
      <xdr:rowOff>177799</xdr:rowOff>
    </xdr:to>
    <xdr:graphicFrame macro="">
      <xdr:nvGraphicFramePr>
        <xdr:cNvPr id="6" name="Chart 5">
          <a:extLst>
            <a:ext uri="{FF2B5EF4-FFF2-40B4-BE49-F238E27FC236}">
              <a16:creationId xmlns:a16="http://schemas.microsoft.com/office/drawing/2014/main" id="{62BD0A60-24EC-1D4D-35EF-D6EA85D4A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xdr:colOff>
      <xdr:row>53</xdr:row>
      <xdr:rowOff>31750</xdr:rowOff>
    </xdr:from>
    <xdr:to>
      <xdr:col>6</xdr:col>
      <xdr:colOff>641350</xdr:colOff>
      <xdr:row>62</xdr:row>
      <xdr:rowOff>171450</xdr:rowOff>
    </xdr:to>
    <xdr:graphicFrame macro="">
      <xdr:nvGraphicFramePr>
        <xdr:cNvPr id="7" name="Chart 6">
          <a:extLst>
            <a:ext uri="{FF2B5EF4-FFF2-40B4-BE49-F238E27FC236}">
              <a16:creationId xmlns:a16="http://schemas.microsoft.com/office/drawing/2014/main" id="{E136F715-6405-7576-6948-421469C57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xdr:colOff>
      <xdr:row>66</xdr:row>
      <xdr:rowOff>200025</xdr:rowOff>
    </xdr:from>
    <xdr:to>
      <xdr:col>3</xdr:col>
      <xdr:colOff>1174750</xdr:colOff>
      <xdr:row>74</xdr:row>
      <xdr:rowOff>177800</xdr:rowOff>
    </xdr:to>
    <xdr:graphicFrame macro="">
      <xdr:nvGraphicFramePr>
        <xdr:cNvPr id="8" name="Chart 7">
          <a:extLst>
            <a:ext uri="{FF2B5EF4-FFF2-40B4-BE49-F238E27FC236}">
              <a16:creationId xmlns:a16="http://schemas.microsoft.com/office/drawing/2014/main" id="{56B85EBD-C8CE-B143-AB7A-55E78958F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241300</xdr:colOff>
      <xdr:row>78</xdr:row>
      <xdr:rowOff>196850</xdr:rowOff>
    </xdr:from>
    <xdr:to>
      <xdr:col>9</xdr:col>
      <xdr:colOff>654050</xdr:colOff>
      <xdr:row>85</xdr:row>
      <xdr:rowOff>171450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90075A18-A8D6-E72F-7C6D-74C0BECE60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89500" y="15748000"/>
              <a:ext cx="3054350" cy="1371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22225</xdr:colOff>
      <xdr:row>89</xdr:row>
      <xdr:rowOff>193675</xdr:rowOff>
    </xdr:from>
    <xdr:to>
      <xdr:col>6</xdr:col>
      <xdr:colOff>622300</xdr:colOff>
      <xdr:row>100</xdr:row>
      <xdr:rowOff>184150</xdr:rowOff>
    </xdr:to>
    <xdr:graphicFrame macro="">
      <xdr:nvGraphicFramePr>
        <xdr:cNvPr id="10" name="Chart 9">
          <a:extLst>
            <a:ext uri="{FF2B5EF4-FFF2-40B4-BE49-F238E27FC236}">
              <a16:creationId xmlns:a16="http://schemas.microsoft.com/office/drawing/2014/main" id="{B87FBFAC-07B7-24CB-3CB3-41CBAF376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25400</xdr:colOff>
      <xdr:row>105</xdr:row>
      <xdr:rowOff>12700</xdr:rowOff>
    </xdr:from>
    <xdr:to>
      <xdr:col>6</xdr:col>
      <xdr:colOff>641349</xdr:colOff>
      <xdr:row>113</xdr:row>
      <xdr:rowOff>161924</xdr:rowOff>
    </xdr:to>
    <xdr:graphicFrame macro="">
      <xdr:nvGraphicFramePr>
        <xdr:cNvPr id="11" name="Chart 10">
          <a:extLst>
            <a:ext uri="{FF2B5EF4-FFF2-40B4-BE49-F238E27FC236}">
              <a16:creationId xmlns:a16="http://schemas.microsoft.com/office/drawing/2014/main" id="{B07A8A37-93B8-1EEA-70F8-D4FFB1B46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25399</xdr:colOff>
      <xdr:row>118</xdr:row>
      <xdr:rowOff>12701</xdr:rowOff>
    </xdr:from>
    <xdr:to>
      <xdr:col>6</xdr:col>
      <xdr:colOff>644524</xdr:colOff>
      <xdr:row>127</xdr:row>
      <xdr:rowOff>146051</xdr:rowOff>
    </xdr:to>
    <xdr:graphicFrame macro="">
      <xdr:nvGraphicFramePr>
        <xdr:cNvPr id="12" name="Chart 11">
          <a:extLst>
            <a:ext uri="{FF2B5EF4-FFF2-40B4-BE49-F238E27FC236}">
              <a16:creationId xmlns:a16="http://schemas.microsoft.com/office/drawing/2014/main" id="{90AD10D2-0752-535D-BDC3-5DE14A1FB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139700</xdr:colOff>
      <xdr:row>88</xdr:row>
      <xdr:rowOff>196851</xdr:rowOff>
    </xdr:from>
    <xdr:to>
      <xdr:col>10</xdr:col>
      <xdr:colOff>647700</xdr:colOff>
      <xdr:row>95</xdr:row>
      <xdr:rowOff>101601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06DBE83E-89D1-8832-55B2-BED1A9A99AB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769100" y="17741901"/>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527050</xdr:colOff>
      <xdr:row>89</xdr:row>
      <xdr:rowOff>12700</xdr:rowOff>
    </xdr:from>
    <xdr:to>
      <xdr:col>14</xdr:col>
      <xdr:colOff>374650</xdr:colOff>
      <xdr:row>102</xdr:row>
      <xdr:rowOff>142869</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AC21CB31-48EC-A7E5-F8B3-E9D4A5DBCDD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137650" y="177609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231322</xdr:colOff>
      <xdr:row>0</xdr:row>
      <xdr:rowOff>36286</xdr:rowOff>
    </xdr:from>
    <xdr:to>
      <xdr:col>23</xdr:col>
      <xdr:colOff>322822</xdr:colOff>
      <xdr:row>41</xdr:row>
      <xdr:rowOff>62986</xdr:rowOff>
    </xdr:to>
    <xdr:sp macro="" textlink="">
      <xdr:nvSpPr>
        <xdr:cNvPr id="2" name="Rectangle 1">
          <a:extLst>
            <a:ext uri="{FF2B5EF4-FFF2-40B4-BE49-F238E27FC236}">
              <a16:creationId xmlns:a16="http://schemas.microsoft.com/office/drawing/2014/main" id="{D19283CB-F759-DBE0-804E-CDDDFDD7E6C2}"/>
            </a:ext>
          </a:extLst>
        </xdr:cNvPr>
        <xdr:cNvSpPr/>
      </xdr:nvSpPr>
      <xdr:spPr>
        <a:xfrm>
          <a:off x="898072" y="36286"/>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xdr:txBody>
    </xdr:sp>
    <xdr:clientData/>
  </xdr:twoCellAnchor>
  <xdr:twoCellAnchor>
    <xdr:from>
      <xdr:col>1</xdr:col>
      <xdr:colOff>423374</xdr:colOff>
      <xdr:row>1</xdr:row>
      <xdr:rowOff>-1</xdr:rowOff>
    </xdr:from>
    <xdr:to>
      <xdr:col>4</xdr:col>
      <xdr:colOff>619124</xdr:colOff>
      <xdr:row>40</xdr:row>
      <xdr:rowOff>94499</xdr:rowOff>
    </xdr:to>
    <xdr:sp macro="" textlink="">
      <xdr:nvSpPr>
        <xdr:cNvPr id="3" name="Rectangle: Top Corners Rounded 2">
          <a:extLst>
            <a:ext uri="{FF2B5EF4-FFF2-40B4-BE49-F238E27FC236}">
              <a16:creationId xmlns:a16="http://schemas.microsoft.com/office/drawing/2014/main" id="{347420B6-578D-121C-355A-87BC50F08C6E}"/>
            </a:ext>
          </a:extLst>
        </xdr:cNvPr>
        <xdr:cNvSpPr/>
      </xdr:nvSpPr>
      <xdr:spPr>
        <a:xfrm rot="5400000">
          <a:off x="-1573876" y="2854499"/>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333375</xdr:colOff>
      <xdr:row>0</xdr:row>
      <xdr:rowOff>174626</xdr:rowOff>
    </xdr:from>
    <xdr:to>
      <xdr:col>4</xdr:col>
      <xdr:colOff>635000</xdr:colOff>
      <xdr:row>5</xdr:row>
      <xdr:rowOff>47626</xdr:rowOff>
    </xdr:to>
    <xdr:sp macro="" textlink="">
      <xdr:nvSpPr>
        <xdr:cNvPr id="4" name="TextBox 3">
          <a:extLst>
            <a:ext uri="{FF2B5EF4-FFF2-40B4-BE49-F238E27FC236}">
              <a16:creationId xmlns:a16="http://schemas.microsoft.com/office/drawing/2014/main" id="{CE4926D4-1507-08E1-CC5B-9FED034DD57C}"/>
            </a:ext>
          </a:extLst>
        </xdr:cNvPr>
        <xdr:cNvSpPr txBox="1"/>
      </xdr:nvSpPr>
      <xdr:spPr>
        <a:xfrm>
          <a:off x="1000125" y="174626"/>
          <a:ext cx="2301875" cy="825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358775</xdr:colOff>
      <xdr:row>3</xdr:row>
      <xdr:rowOff>136526</xdr:rowOff>
    </xdr:from>
    <xdr:to>
      <xdr:col>4</xdr:col>
      <xdr:colOff>660400</xdr:colOff>
      <xdr:row>6</xdr:row>
      <xdr:rowOff>15875</xdr:rowOff>
    </xdr:to>
    <xdr:sp macro="" textlink="">
      <xdr:nvSpPr>
        <xdr:cNvPr id="5" name="TextBox 4">
          <a:extLst>
            <a:ext uri="{FF2B5EF4-FFF2-40B4-BE49-F238E27FC236}">
              <a16:creationId xmlns:a16="http://schemas.microsoft.com/office/drawing/2014/main" id="{E3A40317-6574-4BF4-8A01-F86E1531EF44}"/>
            </a:ext>
          </a:extLst>
        </xdr:cNvPr>
        <xdr:cNvSpPr txBox="1"/>
      </xdr:nvSpPr>
      <xdr:spPr>
        <a:xfrm>
          <a:off x="1025525" y="708026"/>
          <a:ext cx="2301875" cy="450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itka Display Semibold" pitchFamily="2" charset="0"/>
              <a:ea typeface="Segoe UI Black" panose="020B0A02040204020203" pitchFamily="34" charset="0"/>
            </a:rPr>
            <a:t>India's Last Minut App</a:t>
          </a:r>
          <a:endParaRPr lang="en-US" sz="1200" b="1">
            <a:solidFill>
              <a:schemeClr val="accent6">
                <a:lumMod val="75000"/>
              </a:schemeClr>
            </a:solidFill>
            <a:latin typeface="Sitka Display Semibold" pitchFamily="2" charset="0"/>
            <a:ea typeface="Segoe UI Black" panose="020B0A02040204020203" pitchFamily="34" charset="0"/>
          </a:endParaRPr>
        </a:p>
      </xdr:txBody>
    </xdr:sp>
    <xdr:clientData/>
  </xdr:twoCellAnchor>
  <xdr:twoCellAnchor>
    <xdr:from>
      <xdr:col>5</xdr:col>
      <xdr:colOff>252412</xdr:colOff>
      <xdr:row>1</xdr:row>
      <xdr:rowOff>35454</xdr:rowOff>
    </xdr:from>
    <xdr:to>
      <xdr:col>13</xdr:col>
      <xdr:colOff>532550</xdr:colOff>
      <xdr:row>13</xdr:row>
      <xdr:rowOff>81342</xdr:rowOff>
    </xdr:to>
    <xdr:grpSp>
      <xdr:nvGrpSpPr>
        <xdr:cNvPr id="10" name="Group 9">
          <a:extLst>
            <a:ext uri="{FF2B5EF4-FFF2-40B4-BE49-F238E27FC236}">
              <a16:creationId xmlns:a16="http://schemas.microsoft.com/office/drawing/2014/main" id="{9799B87B-5868-499D-F7C9-326D25C6382B}"/>
            </a:ext>
          </a:extLst>
        </xdr:cNvPr>
        <xdr:cNvGrpSpPr/>
      </xdr:nvGrpSpPr>
      <xdr:grpSpPr>
        <a:xfrm>
          <a:off x="3586162" y="225954"/>
          <a:ext cx="5614138" cy="2331888"/>
          <a:chOff x="3494087" y="211137"/>
          <a:chExt cx="5614138" cy="2331888"/>
        </a:xfrm>
      </xdr:grpSpPr>
      <xdr:sp macro="" textlink="">
        <xdr:nvSpPr>
          <xdr:cNvPr id="6" name="Rectangle: Rounded Corners 5">
            <a:extLst>
              <a:ext uri="{FF2B5EF4-FFF2-40B4-BE49-F238E27FC236}">
                <a16:creationId xmlns:a16="http://schemas.microsoft.com/office/drawing/2014/main" id="{2D675214-D114-7475-04A9-D01297EFFBE8}"/>
              </a:ext>
            </a:extLst>
          </xdr:cNvPr>
          <xdr:cNvSpPr/>
        </xdr:nvSpPr>
        <xdr:spPr>
          <a:xfrm>
            <a:off x="3494087" y="211137"/>
            <a:ext cx="2736000" cy="1047600"/>
          </a:xfrm>
          <a:prstGeom prst="roundRect">
            <a:avLst/>
          </a:prstGeom>
          <a:gradFill flip="none" rotWithShape="1">
            <a:gsLst>
              <a:gs pos="0">
                <a:srgbClr val="FFD200"/>
              </a:gs>
              <a:gs pos="26000">
                <a:schemeClr val="accent6">
                  <a:lumMod val="60000"/>
                  <a:lumOff val="40000"/>
                </a:schemeClr>
              </a:gs>
              <a:gs pos="83000">
                <a:schemeClr val="accent6">
                  <a:lumMod val="75000"/>
                  <a:alpha val="50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C3E4E6DE-5644-4571-B063-66C6E943A74E}"/>
              </a:ext>
            </a:extLst>
          </xdr:cNvPr>
          <xdr:cNvSpPr/>
        </xdr:nvSpPr>
        <xdr:spPr>
          <a:xfrm>
            <a:off x="6372225" y="21113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47C4BC45-76D1-4B1C-B0EB-CF9CDA2140D1}"/>
              </a:ext>
            </a:extLst>
          </xdr:cNvPr>
          <xdr:cNvSpPr/>
        </xdr:nvSpPr>
        <xdr:spPr>
          <a:xfrm>
            <a:off x="3494087" y="14954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961B1042-F742-4498-8137-BA66FE5DB782}"/>
              </a:ext>
            </a:extLst>
          </xdr:cNvPr>
          <xdr:cNvSpPr/>
        </xdr:nvSpPr>
        <xdr:spPr>
          <a:xfrm>
            <a:off x="6372225" y="14954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571500</xdr:colOff>
      <xdr:row>1</xdr:row>
      <xdr:rowOff>155575</xdr:rowOff>
    </xdr:from>
    <xdr:to>
      <xdr:col>7</xdr:col>
      <xdr:colOff>555625</xdr:colOff>
      <xdr:row>4</xdr:row>
      <xdr:rowOff>76200</xdr:rowOff>
    </xdr:to>
    <xdr:sp macro="" textlink="'Sheets Design'!A8">
      <xdr:nvSpPr>
        <xdr:cNvPr id="11" name="TextBox 10">
          <a:extLst>
            <a:ext uri="{FF2B5EF4-FFF2-40B4-BE49-F238E27FC236}">
              <a16:creationId xmlns:a16="http://schemas.microsoft.com/office/drawing/2014/main" id="{A91012CC-6CB1-317E-4556-EFF8D5DE3407}"/>
            </a:ext>
          </a:extLst>
        </xdr:cNvPr>
        <xdr:cNvSpPr txBox="1"/>
      </xdr:nvSpPr>
      <xdr:spPr>
        <a:xfrm>
          <a:off x="3905250" y="346075"/>
          <a:ext cx="1317625"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FB64E1-62BC-4BDF-B72B-FEB26E64890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$0.08M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468312</xdr:colOff>
      <xdr:row>8</xdr:row>
      <xdr:rowOff>171451</xdr:rowOff>
    </xdr:from>
    <xdr:to>
      <xdr:col>4</xdr:col>
      <xdr:colOff>579438</xdr:colOff>
      <xdr:row>16</xdr:row>
      <xdr:rowOff>84138</xdr:rowOff>
    </xdr:to>
    <mc:AlternateContent xmlns:mc="http://schemas.openxmlformats.org/markup-compatibility/2006" xmlns:a14="http://schemas.microsoft.com/office/drawing/2010/main">
      <mc:Choice Requires="a14">
        <xdr:graphicFrame macro="">
          <xdr:nvGraphicFramePr>
            <xdr:cNvPr id="18" name="Outlet Size 1">
              <a:extLst>
                <a:ext uri="{FF2B5EF4-FFF2-40B4-BE49-F238E27FC236}">
                  <a16:creationId xmlns:a16="http://schemas.microsoft.com/office/drawing/2014/main" id="{6027539E-81B7-406E-B9DC-43B57775A95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124479" y="1780118"/>
              <a:ext cx="2079626" cy="1521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603250</xdr:colOff>
      <xdr:row>3</xdr:row>
      <xdr:rowOff>127000</xdr:rowOff>
    </xdr:from>
    <xdr:to>
      <xdr:col>7</xdr:col>
      <xdr:colOff>492125</xdr:colOff>
      <xdr:row>6</xdr:row>
      <xdr:rowOff>1</xdr:rowOff>
    </xdr:to>
    <xdr:sp macro="" textlink="">
      <xdr:nvSpPr>
        <xdr:cNvPr id="20" name="TextBox 19">
          <a:extLst>
            <a:ext uri="{FF2B5EF4-FFF2-40B4-BE49-F238E27FC236}">
              <a16:creationId xmlns:a16="http://schemas.microsoft.com/office/drawing/2014/main" id="{DC492B22-F0BB-33E8-BCA4-479FF5919A4B}"/>
            </a:ext>
          </a:extLst>
        </xdr:cNvPr>
        <xdr:cNvSpPr txBox="1"/>
      </xdr:nvSpPr>
      <xdr:spPr>
        <a:xfrm>
          <a:off x="3937000" y="698500"/>
          <a:ext cx="1222375" cy="44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cs typeface="Segoe UI Semibold" panose="020B0702040204020203" pitchFamily="34" charset="0"/>
            </a:rPr>
            <a:t>TOTAL SALES</a:t>
          </a:r>
        </a:p>
      </xdr:txBody>
    </xdr:sp>
    <xdr:clientData/>
  </xdr:twoCellAnchor>
  <xdr:twoCellAnchor>
    <xdr:from>
      <xdr:col>9</xdr:col>
      <xdr:colOff>612775</xdr:colOff>
      <xdr:row>1</xdr:row>
      <xdr:rowOff>155575</xdr:rowOff>
    </xdr:from>
    <xdr:to>
      <xdr:col>11</xdr:col>
      <xdr:colOff>596900</xdr:colOff>
      <xdr:row>4</xdr:row>
      <xdr:rowOff>76200</xdr:rowOff>
    </xdr:to>
    <xdr:sp macro="" textlink="'Sheets Design'!$B$8">
      <xdr:nvSpPr>
        <xdr:cNvPr id="21" name="TextBox 20">
          <a:extLst>
            <a:ext uri="{FF2B5EF4-FFF2-40B4-BE49-F238E27FC236}">
              <a16:creationId xmlns:a16="http://schemas.microsoft.com/office/drawing/2014/main" id="{1138B1D5-E93A-4F72-AC44-38F675E0C39E}"/>
            </a:ext>
          </a:extLst>
        </xdr:cNvPr>
        <xdr:cNvSpPr txBox="1"/>
      </xdr:nvSpPr>
      <xdr:spPr>
        <a:xfrm>
          <a:off x="6613525" y="346075"/>
          <a:ext cx="1317625"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682617C-E54A-4BEC-95BC-520898994B7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$136</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644525</xdr:colOff>
      <xdr:row>3</xdr:row>
      <xdr:rowOff>128588</xdr:rowOff>
    </xdr:from>
    <xdr:to>
      <xdr:col>11</xdr:col>
      <xdr:colOff>533400</xdr:colOff>
      <xdr:row>6</xdr:row>
      <xdr:rowOff>1589</xdr:rowOff>
    </xdr:to>
    <xdr:sp macro="" textlink="">
      <xdr:nvSpPr>
        <xdr:cNvPr id="22" name="TextBox 21">
          <a:extLst>
            <a:ext uri="{FF2B5EF4-FFF2-40B4-BE49-F238E27FC236}">
              <a16:creationId xmlns:a16="http://schemas.microsoft.com/office/drawing/2014/main" id="{79FAD986-7ABB-483E-8F73-2988A1101F78}"/>
            </a:ext>
          </a:extLst>
        </xdr:cNvPr>
        <xdr:cNvSpPr txBox="1"/>
      </xdr:nvSpPr>
      <xdr:spPr>
        <a:xfrm>
          <a:off x="6573838" y="723901"/>
          <a:ext cx="1206500" cy="46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cs typeface="Segoe UI Semibold" panose="020B0702040204020203" pitchFamily="34" charset="0"/>
            </a:rPr>
            <a:t>AVG SALES</a:t>
          </a:r>
        </a:p>
      </xdr:txBody>
    </xdr:sp>
    <xdr:clientData/>
  </xdr:twoCellAnchor>
  <xdr:twoCellAnchor>
    <xdr:from>
      <xdr:col>9</xdr:col>
      <xdr:colOff>593196</xdr:colOff>
      <xdr:row>10</xdr:row>
      <xdr:rowOff>83874</xdr:rowOff>
    </xdr:from>
    <xdr:to>
      <xdr:col>11</xdr:col>
      <xdr:colOff>482071</xdr:colOff>
      <xdr:row>12</xdr:row>
      <xdr:rowOff>155312</xdr:rowOff>
    </xdr:to>
    <xdr:sp macro="" textlink="">
      <xdr:nvSpPr>
        <xdr:cNvPr id="23" name="TextBox 22">
          <a:extLst>
            <a:ext uri="{FF2B5EF4-FFF2-40B4-BE49-F238E27FC236}">
              <a16:creationId xmlns:a16="http://schemas.microsoft.com/office/drawing/2014/main" id="{720EF3FE-6D87-40BE-A6F1-369AE2051AA1}"/>
            </a:ext>
          </a:extLst>
        </xdr:cNvPr>
        <xdr:cNvSpPr txBox="1"/>
      </xdr:nvSpPr>
      <xdr:spPr>
        <a:xfrm>
          <a:off x="6546321" y="2068249"/>
          <a:ext cx="1211792" cy="46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cs typeface="Segoe UI Semibold" panose="020B0702040204020203" pitchFamily="34" charset="0"/>
            </a:rPr>
            <a:t>AVG RATING</a:t>
          </a:r>
        </a:p>
      </xdr:txBody>
    </xdr:sp>
    <xdr:clientData/>
  </xdr:twoCellAnchor>
  <xdr:twoCellAnchor>
    <xdr:from>
      <xdr:col>5</xdr:col>
      <xdr:colOff>436298</xdr:colOff>
      <xdr:row>10</xdr:row>
      <xdr:rowOff>89166</xdr:rowOff>
    </xdr:from>
    <xdr:to>
      <xdr:col>7</xdr:col>
      <xdr:colOff>325173</xdr:colOff>
      <xdr:row>12</xdr:row>
      <xdr:rowOff>165366</xdr:rowOff>
    </xdr:to>
    <xdr:sp macro="" textlink="">
      <xdr:nvSpPr>
        <xdr:cNvPr id="24" name="TextBox 23">
          <a:extLst>
            <a:ext uri="{FF2B5EF4-FFF2-40B4-BE49-F238E27FC236}">
              <a16:creationId xmlns:a16="http://schemas.microsoft.com/office/drawing/2014/main" id="{48C60DAA-5EFE-4B1C-8EC6-A7C23D19C5D7}"/>
            </a:ext>
          </a:extLst>
        </xdr:cNvPr>
        <xdr:cNvSpPr txBox="1"/>
      </xdr:nvSpPr>
      <xdr:spPr>
        <a:xfrm>
          <a:off x="3743590" y="2073541"/>
          <a:ext cx="1211791" cy="473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cs typeface="Segoe UI Semibold" panose="020B0702040204020203" pitchFamily="34" charset="0"/>
            </a:rPr>
            <a:t>NO</a:t>
          </a:r>
          <a:r>
            <a:rPr lang="en-US" sz="1100" baseline="0">
              <a:latin typeface="Segoe UI Semibold" panose="020B0702040204020203" pitchFamily="34" charset="0"/>
              <a:cs typeface="Segoe UI Semibold" panose="020B0702040204020203" pitchFamily="34" charset="0"/>
            </a:rPr>
            <a:t> OF ITEMS</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5</xdr:col>
      <xdr:colOff>382587</xdr:colOff>
      <xdr:row>8</xdr:row>
      <xdr:rowOff>115888</xdr:rowOff>
    </xdr:from>
    <xdr:to>
      <xdr:col>7</xdr:col>
      <xdr:colOff>366712</xdr:colOff>
      <xdr:row>11</xdr:row>
      <xdr:rowOff>36512</xdr:rowOff>
    </xdr:to>
    <xdr:sp macro="" textlink="'Sheets Design'!$C$8">
      <xdr:nvSpPr>
        <xdr:cNvPr id="25" name="TextBox 24">
          <a:extLst>
            <a:ext uri="{FF2B5EF4-FFF2-40B4-BE49-F238E27FC236}">
              <a16:creationId xmlns:a16="http://schemas.microsoft.com/office/drawing/2014/main" id="{E4E43FB5-318B-4329-92E0-7A5C645CCE07}"/>
            </a:ext>
          </a:extLst>
        </xdr:cNvPr>
        <xdr:cNvSpPr txBox="1"/>
      </xdr:nvSpPr>
      <xdr:spPr>
        <a:xfrm>
          <a:off x="3684587" y="1741488"/>
          <a:ext cx="1304925" cy="530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E35258-3ED1-48CD-9070-3F1D9FC6D8B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573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556079</xdr:colOff>
      <xdr:row>8</xdr:row>
      <xdr:rowOff>115888</xdr:rowOff>
    </xdr:from>
    <xdr:to>
      <xdr:col>11</xdr:col>
      <xdr:colOff>540205</xdr:colOff>
      <xdr:row>11</xdr:row>
      <xdr:rowOff>36512</xdr:rowOff>
    </xdr:to>
    <xdr:sp macro="" textlink="'Sheets Design'!$D$8">
      <xdr:nvSpPr>
        <xdr:cNvPr id="26" name="TextBox 25">
          <a:extLst>
            <a:ext uri="{FF2B5EF4-FFF2-40B4-BE49-F238E27FC236}">
              <a16:creationId xmlns:a16="http://schemas.microsoft.com/office/drawing/2014/main" id="{D052EE64-649F-41E5-A0E1-2F3F18BF4FDF}"/>
            </a:ext>
          </a:extLst>
        </xdr:cNvPr>
        <xdr:cNvSpPr txBox="1"/>
      </xdr:nvSpPr>
      <xdr:spPr>
        <a:xfrm>
          <a:off x="6499679" y="1741488"/>
          <a:ext cx="1304926" cy="530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D6E2DB0-789A-47FE-84A4-F6DE3CDBD1C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13</xdr:col>
      <xdr:colOff>105304</xdr:colOff>
      <xdr:row>1</xdr:row>
      <xdr:rowOff>153987</xdr:rowOff>
    </xdr:from>
    <xdr:to>
      <xdr:col>13</xdr:col>
      <xdr:colOff>405919</xdr:colOff>
      <xdr:row>3</xdr:row>
      <xdr:rowOff>73025</xdr:rowOff>
    </xdr:to>
    <xdr:pic>
      <xdr:nvPicPr>
        <xdr:cNvPr id="27" name="Picture 26">
          <a:extLst>
            <a:ext uri="{FF2B5EF4-FFF2-40B4-BE49-F238E27FC236}">
              <a16:creationId xmlns:a16="http://schemas.microsoft.com/office/drawing/2014/main" id="{19AFF0BF-C523-F218-FB72-4B97E8CB3C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04262" y="352425"/>
          <a:ext cx="321252" cy="32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541419</xdr:colOff>
      <xdr:row>8</xdr:row>
      <xdr:rowOff>113632</xdr:rowOff>
    </xdr:from>
    <xdr:to>
      <xdr:col>9</xdr:col>
      <xdr:colOff>200525</xdr:colOff>
      <xdr:row>10</xdr:row>
      <xdr:rowOff>41997</xdr:rowOff>
    </xdr:to>
    <xdr:pic>
      <xdr:nvPicPr>
        <xdr:cNvPr id="28" name="Picture 27">
          <a:extLst>
            <a:ext uri="{FF2B5EF4-FFF2-40B4-BE49-F238E27FC236}">
              <a16:creationId xmlns:a16="http://schemas.microsoft.com/office/drawing/2014/main" id="{C7773BD5-FD0B-D7C0-4B75-F20829A39D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35314" y="1664369"/>
          <a:ext cx="320843" cy="316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77843</xdr:colOff>
      <xdr:row>8</xdr:row>
      <xdr:rowOff>86895</xdr:rowOff>
    </xdr:from>
    <xdr:to>
      <xdr:col>13</xdr:col>
      <xdr:colOff>402784</xdr:colOff>
      <xdr:row>10</xdr:row>
      <xdr:rowOff>20053</xdr:rowOff>
    </xdr:to>
    <xdr:pic>
      <xdr:nvPicPr>
        <xdr:cNvPr id="29" name="Picture 28">
          <a:extLst>
            <a:ext uri="{FF2B5EF4-FFF2-40B4-BE49-F238E27FC236}">
              <a16:creationId xmlns:a16="http://schemas.microsoft.com/office/drawing/2014/main" id="{55E90F32-5723-3877-078F-F0C33C62D95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8680422" y="1637632"/>
          <a:ext cx="324941" cy="320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564446</xdr:colOff>
      <xdr:row>1</xdr:row>
      <xdr:rowOff>158751</xdr:rowOff>
    </xdr:from>
    <xdr:to>
      <xdr:col>9</xdr:col>
      <xdr:colOff>223427</xdr:colOff>
      <xdr:row>3</xdr:row>
      <xdr:rowOff>81919</xdr:rowOff>
    </xdr:to>
    <xdr:pic>
      <xdr:nvPicPr>
        <xdr:cNvPr id="34" name="Picture 33">
          <a:extLst>
            <a:ext uri="{FF2B5EF4-FFF2-40B4-BE49-F238E27FC236}">
              <a16:creationId xmlns:a16="http://schemas.microsoft.com/office/drawing/2014/main" id="{8C096079-A8B0-5E6A-7691-C07D8716C40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832594" y="352779"/>
          <a:ext cx="317500" cy="311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252412</xdr:colOff>
      <xdr:row>14</xdr:row>
      <xdr:rowOff>137054</xdr:rowOff>
    </xdr:from>
    <xdr:to>
      <xdr:col>13</xdr:col>
      <xdr:colOff>508000</xdr:colOff>
      <xdr:row>40</xdr:row>
      <xdr:rowOff>76200</xdr:rowOff>
    </xdr:to>
    <xdr:sp macro="" textlink="">
      <xdr:nvSpPr>
        <xdr:cNvPr id="35" name="Rectangle: Rounded Corners 34">
          <a:extLst>
            <a:ext uri="{FF2B5EF4-FFF2-40B4-BE49-F238E27FC236}">
              <a16:creationId xmlns:a16="http://schemas.microsoft.com/office/drawing/2014/main" id="{56F5C6F2-C5EA-4C56-8F69-F26C1239AC9F}"/>
            </a:ext>
          </a:extLst>
        </xdr:cNvPr>
        <xdr:cNvSpPr/>
      </xdr:nvSpPr>
      <xdr:spPr>
        <a:xfrm>
          <a:off x="3554412" y="2981854"/>
          <a:ext cx="5538788" cy="5222346"/>
        </a:xfrm>
        <a:prstGeom prst="roundRect">
          <a:avLst>
            <a:gd name="adj" fmla="val 4508"/>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430211</xdr:colOff>
      <xdr:row>17</xdr:row>
      <xdr:rowOff>60853</xdr:rowOff>
    </xdr:from>
    <xdr:to>
      <xdr:col>9</xdr:col>
      <xdr:colOff>92611</xdr:colOff>
      <xdr:row>26</xdr:row>
      <xdr:rowOff>201253</xdr:rowOff>
    </xdr:to>
    <xdr:graphicFrame macro="">
      <xdr:nvGraphicFramePr>
        <xdr:cNvPr id="36" name="Chart 35">
          <a:extLst>
            <a:ext uri="{FF2B5EF4-FFF2-40B4-BE49-F238E27FC236}">
              <a16:creationId xmlns:a16="http://schemas.microsoft.com/office/drawing/2014/main" id="{E7AF60AD-11B6-4F6F-B1B4-790453967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346616</xdr:colOff>
      <xdr:row>15</xdr:row>
      <xdr:rowOff>3441</xdr:rowOff>
    </xdr:from>
    <xdr:to>
      <xdr:col>7</xdr:col>
      <xdr:colOff>235491</xdr:colOff>
      <xdr:row>17</xdr:row>
      <xdr:rowOff>79641</xdr:rowOff>
    </xdr:to>
    <xdr:sp macro="" textlink="">
      <xdr:nvSpPr>
        <xdr:cNvPr id="37" name="TextBox 36">
          <a:extLst>
            <a:ext uri="{FF2B5EF4-FFF2-40B4-BE49-F238E27FC236}">
              <a16:creationId xmlns:a16="http://schemas.microsoft.com/office/drawing/2014/main" id="{14D8E31C-0529-40FC-8B25-F6D611144690}"/>
            </a:ext>
          </a:extLst>
        </xdr:cNvPr>
        <xdr:cNvSpPr txBox="1"/>
      </xdr:nvSpPr>
      <xdr:spPr>
        <a:xfrm>
          <a:off x="3648616" y="3051441"/>
          <a:ext cx="1209675"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cs typeface="Segoe UI Semibold" panose="020B0702040204020203" pitchFamily="34" charset="0"/>
            </a:rPr>
            <a:t>FAT CONTENT</a:t>
          </a:r>
        </a:p>
      </xdr:txBody>
    </xdr:sp>
    <xdr:clientData/>
  </xdr:twoCellAnchor>
  <xdr:twoCellAnchor>
    <xdr:from>
      <xdr:col>9</xdr:col>
      <xdr:colOff>380206</xdr:colOff>
      <xdr:row>14</xdr:row>
      <xdr:rowOff>137054</xdr:rowOff>
    </xdr:from>
    <xdr:to>
      <xdr:col>9</xdr:col>
      <xdr:colOff>380206</xdr:colOff>
      <xdr:row>40</xdr:row>
      <xdr:rowOff>76200</xdr:rowOff>
    </xdr:to>
    <xdr:cxnSp macro="">
      <xdr:nvCxnSpPr>
        <xdr:cNvPr id="41" name="Straight Connector 40">
          <a:extLst>
            <a:ext uri="{FF2B5EF4-FFF2-40B4-BE49-F238E27FC236}">
              <a16:creationId xmlns:a16="http://schemas.microsoft.com/office/drawing/2014/main" id="{4138F38B-8382-4A13-7084-14BD9484C9D2}"/>
            </a:ext>
          </a:extLst>
        </xdr:cNvPr>
        <xdr:cNvCxnSpPr>
          <a:stCxn id="35" idx="0"/>
          <a:endCxn id="35" idx="2"/>
        </xdr:cNvCxnSpPr>
      </xdr:nvCxnSpPr>
      <xdr:spPr>
        <a:xfrm>
          <a:off x="6285706" y="2952221"/>
          <a:ext cx="0" cy="516731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414866</xdr:colOff>
      <xdr:row>27</xdr:row>
      <xdr:rowOff>127000</xdr:rowOff>
    </xdr:from>
    <xdr:to>
      <xdr:col>9</xdr:col>
      <xdr:colOff>165100</xdr:colOff>
      <xdr:row>27</xdr:row>
      <xdr:rowOff>142610</xdr:rowOff>
    </xdr:to>
    <xdr:cxnSp macro="">
      <xdr:nvCxnSpPr>
        <xdr:cNvPr id="42" name="Straight Connector 41">
          <a:extLst>
            <a:ext uri="{FF2B5EF4-FFF2-40B4-BE49-F238E27FC236}">
              <a16:creationId xmlns:a16="http://schemas.microsoft.com/office/drawing/2014/main" id="{E2F5412A-164F-4D65-81C6-D24388FC0D70}"/>
            </a:ext>
          </a:extLst>
        </xdr:cNvPr>
        <xdr:cNvCxnSpPr/>
      </xdr:nvCxnSpPr>
      <xdr:spPr>
        <a:xfrm flipV="1">
          <a:off x="3716866" y="5613400"/>
          <a:ext cx="2391834" cy="1561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392112</xdr:colOff>
      <xdr:row>30</xdr:row>
      <xdr:rowOff>60854</xdr:rowOff>
    </xdr:from>
    <xdr:to>
      <xdr:col>9</xdr:col>
      <xdr:colOff>361949</xdr:colOff>
      <xdr:row>40</xdr:row>
      <xdr:rowOff>31749</xdr:rowOff>
    </xdr:to>
    <xdr:graphicFrame macro="">
      <xdr:nvGraphicFramePr>
        <xdr:cNvPr id="46" name="Chart 45">
          <a:extLst>
            <a:ext uri="{FF2B5EF4-FFF2-40B4-BE49-F238E27FC236}">
              <a16:creationId xmlns:a16="http://schemas.microsoft.com/office/drawing/2014/main" id="{51898D90-82C4-470A-8F59-C24BDFFE3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397416</xdr:colOff>
      <xdr:row>28</xdr:row>
      <xdr:rowOff>41541</xdr:rowOff>
    </xdr:from>
    <xdr:to>
      <xdr:col>7</xdr:col>
      <xdr:colOff>286291</xdr:colOff>
      <xdr:row>30</xdr:row>
      <xdr:rowOff>117741</xdr:rowOff>
    </xdr:to>
    <xdr:sp macro="" textlink="">
      <xdr:nvSpPr>
        <xdr:cNvPr id="48" name="TextBox 47">
          <a:extLst>
            <a:ext uri="{FF2B5EF4-FFF2-40B4-BE49-F238E27FC236}">
              <a16:creationId xmlns:a16="http://schemas.microsoft.com/office/drawing/2014/main" id="{E5840CC3-977D-474D-87D4-B01E433D93A6}"/>
            </a:ext>
          </a:extLst>
        </xdr:cNvPr>
        <xdr:cNvSpPr txBox="1"/>
      </xdr:nvSpPr>
      <xdr:spPr>
        <a:xfrm>
          <a:off x="3699416" y="5731141"/>
          <a:ext cx="1209675"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cs typeface="Segoe UI Semibold" panose="020B0702040204020203" pitchFamily="34" charset="0"/>
            </a:rPr>
            <a:t>FAT</a:t>
          </a:r>
          <a:r>
            <a:rPr lang="en-US" sz="1100" baseline="0">
              <a:latin typeface="Segoe UI Semibold" panose="020B0702040204020203" pitchFamily="34" charset="0"/>
              <a:cs typeface="Segoe UI Semibold" panose="020B0702040204020203" pitchFamily="34" charset="0"/>
            </a:rPr>
            <a:t> BY OUTLET</a:t>
          </a:r>
        </a:p>
      </xdr:txBody>
    </xdr:sp>
    <xdr:clientData/>
  </xdr:twoCellAnchor>
  <xdr:twoCellAnchor>
    <xdr:from>
      <xdr:col>9</xdr:col>
      <xdr:colOff>422816</xdr:colOff>
      <xdr:row>15</xdr:row>
      <xdr:rowOff>16141</xdr:rowOff>
    </xdr:from>
    <xdr:to>
      <xdr:col>11</xdr:col>
      <xdr:colOff>311691</xdr:colOff>
      <xdr:row>17</xdr:row>
      <xdr:rowOff>92341</xdr:rowOff>
    </xdr:to>
    <xdr:sp macro="" textlink="">
      <xdr:nvSpPr>
        <xdr:cNvPr id="49" name="TextBox 48">
          <a:extLst>
            <a:ext uri="{FF2B5EF4-FFF2-40B4-BE49-F238E27FC236}">
              <a16:creationId xmlns:a16="http://schemas.microsoft.com/office/drawing/2014/main" id="{71947FCB-D293-446E-A10F-F3B9BE3A4C8B}"/>
            </a:ext>
          </a:extLst>
        </xdr:cNvPr>
        <xdr:cNvSpPr txBox="1"/>
      </xdr:nvSpPr>
      <xdr:spPr>
        <a:xfrm>
          <a:off x="6366416" y="2968891"/>
          <a:ext cx="1209675"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cs typeface="Segoe UI Semibold" panose="020B0702040204020203" pitchFamily="34" charset="0"/>
            </a:rPr>
            <a:t>ITEM TYPE</a:t>
          </a:r>
        </a:p>
      </xdr:txBody>
    </xdr:sp>
    <xdr:clientData/>
  </xdr:twoCellAnchor>
  <xdr:twoCellAnchor>
    <xdr:from>
      <xdr:col>9</xdr:col>
      <xdr:colOff>529166</xdr:colOff>
      <xdr:row>17</xdr:row>
      <xdr:rowOff>0</xdr:rowOff>
    </xdr:from>
    <xdr:to>
      <xdr:col>13</xdr:col>
      <xdr:colOff>391583</xdr:colOff>
      <xdr:row>39</xdr:row>
      <xdr:rowOff>137583</xdr:rowOff>
    </xdr:to>
    <xdr:graphicFrame macro="">
      <xdr:nvGraphicFramePr>
        <xdr:cNvPr id="50" name="Chart 49">
          <a:extLst>
            <a:ext uri="{FF2B5EF4-FFF2-40B4-BE49-F238E27FC236}">
              <a16:creationId xmlns:a16="http://schemas.microsoft.com/office/drawing/2014/main" id="{63EC9846-B952-40E1-80B4-5F389071D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112712</xdr:colOff>
      <xdr:row>1</xdr:row>
      <xdr:rowOff>50800</xdr:rowOff>
    </xdr:from>
    <xdr:to>
      <xdr:col>23</xdr:col>
      <xdr:colOff>50800</xdr:colOff>
      <xdr:row>40</xdr:row>
      <xdr:rowOff>63500</xdr:rowOff>
    </xdr:to>
    <xdr:sp macro="" textlink="">
      <xdr:nvSpPr>
        <xdr:cNvPr id="51" name="Rectangle: Rounded Corners 50">
          <a:extLst>
            <a:ext uri="{FF2B5EF4-FFF2-40B4-BE49-F238E27FC236}">
              <a16:creationId xmlns:a16="http://schemas.microsoft.com/office/drawing/2014/main" id="{E5434D4D-8391-46FA-9D63-A2FFFEE255F3}"/>
            </a:ext>
          </a:extLst>
        </xdr:cNvPr>
        <xdr:cNvSpPr/>
      </xdr:nvSpPr>
      <xdr:spPr>
        <a:xfrm>
          <a:off x="9358312" y="254000"/>
          <a:ext cx="5881688" cy="7937500"/>
        </a:xfrm>
        <a:prstGeom prst="roundRect">
          <a:avLst>
            <a:gd name="adj" fmla="val 4508"/>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127000</xdr:colOff>
      <xdr:row>3</xdr:row>
      <xdr:rowOff>190500</xdr:rowOff>
    </xdr:from>
    <xdr:to>
      <xdr:col>23</xdr:col>
      <xdr:colOff>177800</xdr:colOff>
      <xdr:row>14</xdr:row>
      <xdr:rowOff>0</xdr:rowOff>
    </xdr:to>
    <xdr:graphicFrame macro="">
      <xdr:nvGraphicFramePr>
        <xdr:cNvPr id="53" name="Chart 52">
          <a:extLst>
            <a:ext uri="{FF2B5EF4-FFF2-40B4-BE49-F238E27FC236}">
              <a16:creationId xmlns:a16="http://schemas.microsoft.com/office/drawing/2014/main" id="{01C33EED-804D-43B0-8000-4A5F4C3F6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257716</xdr:colOff>
      <xdr:row>0</xdr:row>
      <xdr:rowOff>193940</xdr:rowOff>
    </xdr:from>
    <xdr:to>
      <xdr:col>17</xdr:col>
      <xdr:colOff>241300</xdr:colOff>
      <xdr:row>4</xdr:row>
      <xdr:rowOff>63499</xdr:rowOff>
    </xdr:to>
    <xdr:sp macro="" textlink="">
      <xdr:nvSpPr>
        <xdr:cNvPr id="54" name="TextBox 53">
          <a:extLst>
            <a:ext uri="{FF2B5EF4-FFF2-40B4-BE49-F238E27FC236}">
              <a16:creationId xmlns:a16="http://schemas.microsoft.com/office/drawing/2014/main" id="{864CB4CF-984D-425C-9770-25E9E01434A6}"/>
            </a:ext>
          </a:extLst>
        </xdr:cNvPr>
        <xdr:cNvSpPr txBox="1"/>
      </xdr:nvSpPr>
      <xdr:spPr>
        <a:xfrm>
          <a:off x="9503316" y="193940"/>
          <a:ext cx="1964784" cy="68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ysClr val="windowText" lastClr="000000"/>
              </a:solidFill>
              <a:latin typeface="Segoe UI Semibold" panose="020B0702040204020203" pitchFamily="34" charset="0"/>
              <a:cs typeface="Segoe UI Semibold" panose="020B0702040204020203" pitchFamily="34" charset="0"/>
            </a:rPr>
            <a:t>OUTLET ESTABLISHMENT</a:t>
          </a:r>
        </a:p>
      </xdr:txBody>
    </xdr:sp>
    <xdr:clientData/>
  </xdr:twoCellAnchor>
  <xdr:twoCellAnchor>
    <xdr:from>
      <xdr:col>14</xdr:col>
      <xdr:colOff>279399</xdr:colOff>
      <xdr:row>15</xdr:row>
      <xdr:rowOff>116010</xdr:rowOff>
    </xdr:from>
    <xdr:to>
      <xdr:col>22</xdr:col>
      <xdr:colOff>641105</xdr:colOff>
      <xdr:row>15</xdr:row>
      <xdr:rowOff>123560</xdr:rowOff>
    </xdr:to>
    <xdr:cxnSp macro="">
      <xdr:nvCxnSpPr>
        <xdr:cNvPr id="55" name="Straight Connector 54">
          <a:extLst>
            <a:ext uri="{FF2B5EF4-FFF2-40B4-BE49-F238E27FC236}">
              <a16:creationId xmlns:a16="http://schemas.microsoft.com/office/drawing/2014/main" id="{9D6B1A61-141E-4EA6-A1A4-112BC6AF952A}"/>
            </a:ext>
          </a:extLst>
        </xdr:cNvPr>
        <xdr:cNvCxnSpPr/>
      </xdr:nvCxnSpPr>
      <xdr:spPr>
        <a:xfrm flipV="1">
          <a:off x="9511322" y="3046779"/>
          <a:ext cx="5637091" cy="755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257716</xdr:colOff>
      <xdr:row>15</xdr:row>
      <xdr:rowOff>117741</xdr:rowOff>
    </xdr:from>
    <xdr:to>
      <xdr:col>16</xdr:col>
      <xdr:colOff>139700</xdr:colOff>
      <xdr:row>18</xdr:row>
      <xdr:rowOff>152401</xdr:rowOff>
    </xdr:to>
    <xdr:sp macro="" textlink="">
      <xdr:nvSpPr>
        <xdr:cNvPr id="58" name="TextBox 57">
          <a:extLst>
            <a:ext uri="{FF2B5EF4-FFF2-40B4-BE49-F238E27FC236}">
              <a16:creationId xmlns:a16="http://schemas.microsoft.com/office/drawing/2014/main" id="{D2234BD7-F1E3-409F-8924-D3348575A76E}"/>
            </a:ext>
          </a:extLst>
        </xdr:cNvPr>
        <xdr:cNvSpPr txBox="1"/>
      </xdr:nvSpPr>
      <xdr:spPr>
        <a:xfrm>
          <a:off x="9503316" y="3165741"/>
          <a:ext cx="1202784" cy="64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ysClr val="windowText" lastClr="000000"/>
              </a:solidFill>
              <a:latin typeface="Segoe UI Semibold" panose="020B0702040204020203" pitchFamily="34" charset="0"/>
              <a:cs typeface="Segoe UI Semibold" panose="020B0702040204020203" pitchFamily="34" charset="0"/>
            </a:rPr>
            <a:t>OUTLET SIZE</a:t>
          </a:r>
        </a:p>
      </xdr:txBody>
    </xdr:sp>
    <xdr:clientData/>
  </xdr:twoCellAnchor>
  <xdr:twoCellAnchor>
    <xdr:from>
      <xdr:col>14</xdr:col>
      <xdr:colOff>227011</xdr:colOff>
      <xdr:row>18</xdr:row>
      <xdr:rowOff>88899</xdr:rowOff>
    </xdr:from>
    <xdr:to>
      <xdr:col>18</xdr:col>
      <xdr:colOff>256611</xdr:colOff>
      <xdr:row>28</xdr:row>
      <xdr:rowOff>12700</xdr:rowOff>
    </xdr:to>
    <xdr:graphicFrame macro="">
      <xdr:nvGraphicFramePr>
        <xdr:cNvPr id="60" name="Chart 59">
          <a:extLst>
            <a:ext uri="{FF2B5EF4-FFF2-40B4-BE49-F238E27FC236}">
              <a16:creationId xmlns:a16="http://schemas.microsoft.com/office/drawing/2014/main" id="{A773095F-D6B4-4EE4-AC26-D8A66F0D4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224203</xdr:colOff>
      <xdr:row>29</xdr:row>
      <xdr:rowOff>22226</xdr:rowOff>
    </xdr:from>
    <xdr:to>
      <xdr:col>22</xdr:col>
      <xdr:colOff>585909</xdr:colOff>
      <xdr:row>29</xdr:row>
      <xdr:rowOff>29776</xdr:rowOff>
    </xdr:to>
    <xdr:cxnSp macro="">
      <xdr:nvCxnSpPr>
        <xdr:cNvPr id="62" name="Straight Connector 61">
          <a:extLst>
            <a:ext uri="{FF2B5EF4-FFF2-40B4-BE49-F238E27FC236}">
              <a16:creationId xmlns:a16="http://schemas.microsoft.com/office/drawing/2014/main" id="{6C4049C5-0B26-42E2-A603-AFEB27832E17}"/>
            </a:ext>
          </a:extLst>
        </xdr:cNvPr>
        <xdr:cNvCxnSpPr/>
      </xdr:nvCxnSpPr>
      <xdr:spPr>
        <a:xfrm flipV="1">
          <a:off x="9469803" y="5915026"/>
          <a:ext cx="5644906" cy="755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444500</xdr:colOff>
      <xdr:row>16</xdr:row>
      <xdr:rowOff>12211</xdr:rowOff>
    </xdr:from>
    <xdr:to>
      <xdr:col>18</xdr:col>
      <xdr:colOff>470145</xdr:colOff>
      <xdr:row>28</xdr:row>
      <xdr:rowOff>101600</xdr:rowOff>
    </xdr:to>
    <xdr:cxnSp macro="">
      <xdr:nvCxnSpPr>
        <xdr:cNvPr id="63" name="Straight Connector 62">
          <a:extLst>
            <a:ext uri="{FF2B5EF4-FFF2-40B4-BE49-F238E27FC236}">
              <a16:creationId xmlns:a16="http://schemas.microsoft.com/office/drawing/2014/main" id="{93B58BB1-60DE-42C0-B531-56D41CED1844}"/>
            </a:ext>
          </a:extLst>
        </xdr:cNvPr>
        <xdr:cNvCxnSpPr/>
      </xdr:nvCxnSpPr>
      <xdr:spPr>
        <a:xfrm flipH="1">
          <a:off x="12331700" y="3263411"/>
          <a:ext cx="25645" cy="2527789"/>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558800</xdr:colOff>
      <xdr:row>18</xdr:row>
      <xdr:rowOff>50800</xdr:rowOff>
    </xdr:from>
    <xdr:to>
      <xdr:col>22</xdr:col>
      <xdr:colOff>596900</xdr:colOff>
      <xdr:row>27</xdr:row>
      <xdr:rowOff>152400</xdr:rowOff>
    </xdr:to>
    <mc:AlternateContent xmlns:mc="http://schemas.openxmlformats.org/markup-compatibility/2006">
      <mc:Choice xmlns:cx2="http://schemas.microsoft.com/office/drawing/2015/10/21/chartex" Requires="cx2">
        <xdr:graphicFrame macro="">
          <xdr:nvGraphicFramePr>
            <xdr:cNvPr id="68" name="Chart 67">
              <a:extLst>
                <a:ext uri="{FF2B5EF4-FFF2-40B4-BE49-F238E27FC236}">
                  <a16:creationId xmlns:a16="http://schemas.microsoft.com/office/drawing/2014/main" id="{A1D11FA7-B170-44AA-BA81-7950170944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446000" y="3594100"/>
              <a:ext cx="2679700" cy="1873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575216</xdr:colOff>
      <xdr:row>15</xdr:row>
      <xdr:rowOff>130441</xdr:rowOff>
    </xdr:from>
    <xdr:to>
      <xdr:col>21</xdr:col>
      <xdr:colOff>317500</xdr:colOff>
      <xdr:row>18</xdr:row>
      <xdr:rowOff>165101</xdr:rowOff>
    </xdr:to>
    <xdr:sp macro="" textlink="">
      <xdr:nvSpPr>
        <xdr:cNvPr id="69" name="TextBox 68">
          <a:extLst>
            <a:ext uri="{FF2B5EF4-FFF2-40B4-BE49-F238E27FC236}">
              <a16:creationId xmlns:a16="http://schemas.microsoft.com/office/drawing/2014/main" id="{D4C434CB-F875-427D-818B-047D2B45B62E}"/>
            </a:ext>
          </a:extLst>
        </xdr:cNvPr>
        <xdr:cNvSpPr txBox="1"/>
      </xdr:nvSpPr>
      <xdr:spPr>
        <a:xfrm>
          <a:off x="12462416" y="3178441"/>
          <a:ext cx="1723484" cy="64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ysClr val="windowText" lastClr="000000"/>
              </a:solidFill>
              <a:latin typeface="Segoe UI Semibold" panose="020B0702040204020203" pitchFamily="34" charset="0"/>
              <a:cs typeface="Segoe UI Semibold" panose="020B0702040204020203" pitchFamily="34" charset="0"/>
            </a:rPr>
            <a:t>OUTLET LOCATION</a:t>
          </a:r>
        </a:p>
      </xdr:txBody>
    </xdr:sp>
    <xdr:clientData/>
  </xdr:twoCellAnchor>
  <xdr:twoCellAnchor>
    <xdr:from>
      <xdr:col>14</xdr:col>
      <xdr:colOff>76201</xdr:colOff>
      <xdr:row>30</xdr:row>
      <xdr:rowOff>63499</xdr:rowOff>
    </xdr:from>
    <xdr:to>
      <xdr:col>18</xdr:col>
      <xdr:colOff>114301</xdr:colOff>
      <xdr:row>40</xdr:row>
      <xdr:rowOff>47499</xdr:rowOff>
    </xdr:to>
    <xdr:graphicFrame macro="">
      <xdr:nvGraphicFramePr>
        <xdr:cNvPr id="72" name="Chart 71">
          <a:extLst>
            <a:ext uri="{FF2B5EF4-FFF2-40B4-BE49-F238E27FC236}">
              <a16:creationId xmlns:a16="http://schemas.microsoft.com/office/drawing/2014/main" id="{DF9DB7D9-8F18-4148-90F4-0D7570333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194216</xdr:colOff>
      <xdr:row>28</xdr:row>
      <xdr:rowOff>130441</xdr:rowOff>
    </xdr:from>
    <xdr:to>
      <xdr:col>16</xdr:col>
      <xdr:colOff>76200</xdr:colOff>
      <xdr:row>31</xdr:row>
      <xdr:rowOff>165101</xdr:rowOff>
    </xdr:to>
    <xdr:sp macro="" textlink="">
      <xdr:nvSpPr>
        <xdr:cNvPr id="73" name="TextBox 72">
          <a:extLst>
            <a:ext uri="{FF2B5EF4-FFF2-40B4-BE49-F238E27FC236}">
              <a16:creationId xmlns:a16="http://schemas.microsoft.com/office/drawing/2014/main" id="{4FCD2348-8D3B-423B-8296-99ACED586CF5}"/>
            </a:ext>
          </a:extLst>
        </xdr:cNvPr>
        <xdr:cNvSpPr txBox="1"/>
      </xdr:nvSpPr>
      <xdr:spPr>
        <a:xfrm>
          <a:off x="9439816" y="5820041"/>
          <a:ext cx="1202784" cy="64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ysClr val="windowText" lastClr="000000"/>
              </a:solidFill>
              <a:latin typeface="Segoe UI Semibold" panose="020B0702040204020203" pitchFamily="34" charset="0"/>
              <a:cs typeface="Segoe UI Semibold" panose="020B0702040204020203" pitchFamily="34" charset="0"/>
            </a:rPr>
            <a:t>OUTLET TYPE</a:t>
          </a:r>
        </a:p>
      </xdr:txBody>
    </xdr:sp>
    <xdr:clientData/>
  </xdr:twoCellAnchor>
  <xdr:twoCellAnchor>
    <xdr:from>
      <xdr:col>18</xdr:col>
      <xdr:colOff>165100</xdr:colOff>
      <xdr:row>30</xdr:row>
      <xdr:rowOff>63500</xdr:rowOff>
    </xdr:from>
    <xdr:to>
      <xdr:col>20</xdr:col>
      <xdr:colOff>431800</xdr:colOff>
      <xdr:row>40</xdr:row>
      <xdr:rowOff>47500</xdr:rowOff>
    </xdr:to>
    <xdr:graphicFrame macro="">
      <xdr:nvGraphicFramePr>
        <xdr:cNvPr id="74" name="Chart 73">
          <a:extLst>
            <a:ext uri="{FF2B5EF4-FFF2-40B4-BE49-F238E27FC236}">
              <a16:creationId xmlns:a16="http://schemas.microsoft.com/office/drawing/2014/main" id="{38D3103A-F548-48E1-BD66-BF1ED4E99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546100</xdr:colOff>
      <xdr:row>30</xdr:row>
      <xdr:rowOff>50800</xdr:rowOff>
    </xdr:from>
    <xdr:to>
      <xdr:col>23</xdr:col>
      <xdr:colOff>139700</xdr:colOff>
      <xdr:row>40</xdr:row>
      <xdr:rowOff>34800</xdr:rowOff>
    </xdr:to>
    <xdr:graphicFrame macro="">
      <xdr:nvGraphicFramePr>
        <xdr:cNvPr id="75" name="Chart 74">
          <a:extLst>
            <a:ext uri="{FF2B5EF4-FFF2-40B4-BE49-F238E27FC236}">
              <a16:creationId xmlns:a16="http://schemas.microsoft.com/office/drawing/2014/main" id="{AD59CFE7-4147-4810-A746-ECC77FEDA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105316</xdr:colOff>
      <xdr:row>38</xdr:row>
      <xdr:rowOff>28841</xdr:rowOff>
    </xdr:from>
    <xdr:to>
      <xdr:col>16</xdr:col>
      <xdr:colOff>647700</xdr:colOff>
      <xdr:row>41</xdr:row>
      <xdr:rowOff>63501</xdr:rowOff>
    </xdr:to>
    <xdr:sp macro="" textlink="">
      <xdr:nvSpPr>
        <xdr:cNvPr id="76" name="TextBox 75">
          <a:extLst>
            <a:ext uri="{FF2B5EF4-FFF2-40B4-BE49-F238E27FC236}">
              <a16:creationId xmlns:a16="http://schemas.microsoft.com/office/drawing/2014/main" id="{DAAC0D16-5BE3-4B9E-9FC2-D27D1C3F9E89}"/>
            </a:ext>
          </a:extLst>
        </xdr:cNvPr>
        <xdr:cNvSpPr txBox="1"/>
      </xdr:nvSpPr>
      <xdr:spPr>
        <a:xfrm>
          <a:off x="10011316" y="7750441"/>
          <a:ext cx="1202784" cy="64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18</xdr:col>
      <xdr:colOff>79916</xdr:colOff>
      <xdr:row>38</xdr:row>
      <xdr:rowOff>28841</xdr:rowOff>
    </xdr:from>
    <xdr:to>
      <xdr:col>19</xdr:col>
      <xdr:colOff>622300</xdr:colOff>
      <xdr:row>41</xdr:row>
      <xdr:rowOff>63501</xdr:rowOff>
    </xdr:to>
    <xdr:sp macro="" textlink="">
      <xdr:nvSpPr>
        <xdr:cNvPr id="77" name="TextBox 76">
          <a:extLst>
            <a:ext uri="{FF2B5EF4-FFF2-40B4-BE49-F238E27FC236}">
              <a16:creationId xmlns:a16="http://schemas.microsoft.com/office/drawing/2014/main" id="{FE86CC06-0ABE-4858-A35E-7CC8D26BFC10}"/>
            </a:ext>
          </a:extLst>
        </xdr:cNvPr>
        <xdr:cNvSpPr txBox="1"/>
      </xdr:nvSpPr>
      <xdr:spPr>
        <a:xfrm>
          <a:off x="11967116" y="7750441"/>
          <a:ext cx="1202784" cy="64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20</xdr:col>
      <xdr:colOff>486316</xdr:colOff>
      <xdr:row>38</xdr:row>
      <xdr:rowOff>41541</xdr:rowOff>
    </xdr:from>
    <xdr:to>
      <xdr:col>22</xdr:col>
      <xdr:colOff>368300</xdr:colOff>
      <xdr:row>41</xdr:row>
      <xdr:rowOff>76201</xdr:rowOff>
    </xdr:to>
    <xdr:sp macro="" textlink="">
      <xdr:nvSpPr>
        <xdr:cNvPr id="78" name="TextBox 77">
          <a:extLst>
            <a:ext uri="{FF2B5EF4-FFF2-40B4-BE49-F238E27FC236}">
              <a16:creationId xmlns:a16="http://schemas.microsoft.com/office/drawing/2014/main" id="{843D4A2B-10E0-4A32-A308-03AC361FB623}"/>
            </a:ext>
          </a:extLst>
        </xdr:cNvPr>
        <xdr:cNvSpPr txBox="1"/>
      </xdr:nvSpPr>
      <xdr:spPr>
        <a:xfrm>
          <a:off x="13694316" y="7763141"/>
          <a:ext cx="1202784" cy="64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lumMod val="75000"/>
                </a:schemeClr>
              </a:solidFill>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1</xdr:col>
      <xdr:colOff>476250</xdr:colOff>
      <xdr:row>15</xdr:row>
      <xdr:rowOff>174623</xdr:rowOff>
    </xdr:from>
    <xdr:to>
      <xdr:col>4</xdr:col>
      <xdr:colOff>571500</xdr:colOff>
      <xdr:row>22</xdr:row>
      <xdr:rowOff>100011</xdr:rowOff>
    </xdr:to>
    <mc:AlternateContent xmlns:mc="http://schemas.openxmlformats.org/markup-compatibility/2006" xmlns:a14="http://schemas.microsoft.com/office/drawing/2010/main">
      <mc:Choice Requires="a14">
        <xdr:graphicFrame macro="">
          <xdr:nvGraphicFramePr>
            <xdr:cNvPr id="79" name="Outlet Location">
              <a:extLst>
                <a:ext uri="{FF2B5EF4-FFF2-40B4-BE49-F238E27FC236}">
                  <a16:creationId xmlns:a16="http://schemas.microsoft.com/office/drawing/2014/main" id="{47355123-5851-4B1B-8915-F8356288D120}"/>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132417" y="3190873"/>
              <a:ext cx="2063750" cy="1332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494810</xdr:colOff>
      <xdr:row>22</xdr:row>
      <xdr:rowOff>119061</xdr:rowOff>
    </xdr:from>
    <xdr:to>
      <xdr:col>4</xdr:col>
      <xdr:colOff>563562</xdr:colOff>
      <xdr:row>36</xdr:row>
      <xdr:rowOff>55555</xdr:rowOff>
    </xdr:to>
    <mc:AlternateContent xmlns:mc="http://schemas.openxmlformats.org/markup-compatibility/2006" xmlns:a14="http://schemas.microsoft.com/office/drawing/2010/main">
      <mc:Choice Requires="a14">
        <xdr:graphicFrame macro="">
          <xdr:nvGraphicFramePr>
            <xdr:cNvPr id="80" name="Item Type 1">
              <a:extLst>
                <a:ext uri="{FF2B5EF4-FFF2-40B4-BE49-F238E27FC236}">
                  <a16:creationId xmlns:a16="http://schemas.microsoft.com/office/drawing/2014/main" id="{A85E8585-7158-4800-A9D3-D24F44810A9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50977" y="4542894"/>
              <a:ext cx="2037252" cy="2751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xdr:colOff>
      <xdr:row>36</xdr:row>
      <xdr:rowOff>190501</xdr:rowOff>
    </xdr:from>
    <xdr:to>
      <xdr:col>2</xdr:col>
      <xdr:colOff>650875</xdr:colOff>
      <xdr:row>39</xdr:row>
      <xdr:rowOff>156433</xdr:rowOff>
    </xdr:to>
    <xdr:pic>
      <xdr:nvPicPr>
        <xdr:cNvPr id="81" name="Picture 80">
          <a:hlinkClick xmlns:r="http://schemas.openxmlformats.org/officeDocument/2006/relationships" r:id="rId14"/>
          <a:extLst>
            <a:ext uri="{FF2B5EF4-FFF2-40B4-BE49-F238E27FC236}">
              <a16:creationId xmlns:a16="http://schemas.microsoft.com/office/drawing/2014/main" id="{5F25BBB4-0EE5-1510-64CD-842E1EC9E5E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412875" y="7334251"/>
          <a:ext cx="555625" cy="561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420686</xdr:colOff>
      <xdr:row>37</xdr:row>
      <xdr:rowOff>55562</xdr:rowOff>
    </xdr:from>
    <xdr:to>
      <xdr:col>4</xdr:col>
      <xdr:colOff>241213</xdr:colOff>
      <xdr:row>39</xdr:row>
      <xdr:rowOff>142874</xdr:rowOff>
    </xdr:to>
    <xdr:pic>
      <xdr:nvPicPr>
        <xdr:cNvPr id="82" name="Picture 81">
          <a:hlinkClick xmlns:r="http://schemas.openxmlformats.org/officeDocument/2006/relationships" r:id="rId16"/>
          <a:extLst>
            <a:ext uri="{FF2B5EF4-FFF2-40B4-BE49-F238E27FC236}">
              <a16:creationId xmlns:a16="http://schemas.microsoft.com/office/drawing/2014/main" id="{740DAC46-5CDD-B8CE-FCEE-3B6324AAA9F6}"/>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flipH="1">
          <a:off x="2397124" y="7397750"/>
          <a:ext cx="479339" cy="484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harma" refreshedDate="45907.88245740741" createdVersion="8" refreshedVersion="8" minRefreshableVersion="3" recordCount="8523" xr:uid="{DBB3873F-AA68-408A-BFFC-37CC4FBC7700}">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3561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001E08-C868-443C-A9F4-C3909C7A1E8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3: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h="1" x="0"/>
        <item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1">
    <i>
      <x v="1"/>
    </i>
  </rowItems>
  <colFields count="1">
    <field x="0"/>
  </colFields>
  <colItems count="2">
    <i>
      <x/>
    </i>
    <i>
      <x v="1"/>
    </i>
  </colItems>
  <dataFields count="1">
    <dataField name="Sum of Sales" fld="11" baseField="0" baseItem="0"/>
  </dataFields>
  <formats count="12">
    <format dxfId="767">
      <pivotArea type="all" dataOnly="0" outline="0" fieldPosition="0"/>
    </format>
    <format dxfId="766">
      <pivotArea field="0" type="button" dataOnly="0" labelOnly="1" outline="0" axis="axisCol" fieldPosition="0"/>
    </format>
    <format dxfId="765">
      <pivotArea type="all" dataOnly="0" outline="0" fieldPosition="0"/>
    </format>
    <format dxfId="764">
      <pivotArea outline="0" collapsedLevelsAreSubtotals="1" fieldPosition="0"/>
    </format>
    <format dxfId="763">
      <pivotArea type="origin" dataOnly="0" labelOnly="1" outline="0" fieldPosition="0"/>
    </format>
    <format dxfId="762">
      <pivotArea field="0" type="button" dataOnly="0" labelOnly="1" outline="0" axis="axisCol" fieldPosition="0"/>
    </format>
    <format dxfId="761">
      <pivotArea type="topRight" dataOnly="0" labelOnly="1" outline="0" fieldPosition="0"/>
    </format>
    <format dxfId="760">
      <pivotArea field="6" type="button" dataOnly="0" labelOnly="1" outline="0" axis="axisRow" fieldPosition="0"/>
    </format>
    <format dxfId="759">
      <pivotArea dataOnly="0" labelOnly="1" fieldPosition="0">
        <references count="1">
          <reference field="6" count="0"/>
        </references>
      </pivotArea>
    </format>
    <format dxfId="758">
      <pivotArea dataOnly="0" labelOnly="1" fieldPosition="0">
        <references count="1">
          <reference field="0" count="0"/>
        </references>
      </pivotArea>
    </format>
    <format dxfId="757">
      <pivotArea outline="0" collapsedLevelsAreSubtotals="1" fieldPosition="0">
        <references count="1">
          <reference field="0" count="1" selected="0">
            <x v="0"/>
          </reference>
        </references>
      </pivotArea>
    </format>
    <format dxfId="756">
      <pivotArea outline="0" collapsedLevelsAreSubtotals="1" fieldPosition="0">
        <references count="1">
          <reference field="0"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04588A-939C-4C27-BD89-344CAAFBDB66}"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119:B12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Count of Sales" fld="11" subtotal="count" baseField="8" baseItem="0" numFmtId="1"/>
  </dataFields>
  <formats count="15">
    <format dxfId="782">
      <pivotArea type="all" dataOnly="0" outline="0" fieldPosition="0"/>
    </format>
    <format dxfId="781">
      <pivotArea field="0" type="button" dataOnly="0" labelOnly="1" outline="0"/>
    </format>
    <format dxfId="780">
      <pivotArea type="all" dataOnly="0" outline="0" fieldPosition="0"/>
    </format>
    <format dxfId="779">
      <pivotArea outline="0" collapsedLevelsAreSubtotals="1" fieldPosition="0"/>
    </format>
    <format dxfId="778">
      <pivotArea field="3" type="button" dataOnly="0" labelOnly="1" outline="0"/>
    </format>
    <format dxfId="777">
      <pivotArea outline="0" collapsedLevelsAreSubtotals="1" fieldPosition="0"/>
    </format>
    <format dxfId="776">
      <pivotArea type="all" dataOnly="0" outline="0" fieldPosition="0"/>
    </format>
    <format dxfId="775">
      <pivotArea outline="0" collapsedLevelsAreSubtotals="1" fieldPosition="0"/>
    </format>
    <format dxfId="774">
      <pivotArea field="6" type="button" dataOnly="0" labelOnly="1" outline="0"/>
    </format>
    <format dxfId="773">
      <pivotArea outline="0" collapsedLevelsAreSubtotals="1" fieldPosition="0"/>
    </format>
    <format dxfId="772">
      <pivotArea type="all" dataOnly="0" outline="0" fieldPosition="0"/>
    </format>
    <format dxfId="771">
      <pivotArea outline="0" collapsedLevelsAreSubtotals="1" fieldPosition="0"/>
    </format>
    <format dxfId="770">
      <pivotArea field="8" type="button" dataOnly="0" labelOnly="1" outline="0" axis="axisRow" fieldPosition="0"/>
    </format>
    <format dxfId="769">
      <pivotArea dataOnly="0" labelOnly="1" fieldPosition="0">
        <references count="1">
          <reference field="8" count="0"/>
        </references>
      </pivotArea>
    </format>
    <format dxfId="76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AFFAF1-F038-425B-BDDB-C3C430584E6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10">
    <format dxfId="792">
      <pivotArea type="all" dataOnly="0" outline="0" fieldPosition="0"/>
    </format>
    <format dxfId="791">
      <pivotArea field="0" type="button" dataOnly="0" labelOnly="1" outline="0" axis="axisRow" fieldPosition="0"/>
    </format>
    <format dxfId="790">
      <pivotArea type="all" dataOnly="0" outline="0" fieldPosition="0"/>
    </format>
    <format dxfId="789">
      <pivotArea outline="0" collapsedLevelsAreSubtotals="1" fieldPosition="0"/>
    </format>
    <format dxfId="788">
      <pivotArea field="0" type="button" dataOnly="0" labelOnly="1" outline="0" axis="axisRow" fieldPosition="0"/>
    </format>
    <format dxfId="787">
      <pivotArea dataOnly="0" labelOnly="1" fieldPosition="0">
        <references count="1">
          <reference field="0" count="0"/>
        </references>
      </pivotArea>
    </format>
    <format dxfId="786">
      <pivotArea dataOnly="0" labelOnly="1" grandRow="1" outline="0" fieldPosition="0"/>
    </format>
    <format dxfId="785">
      <pivotArea dataOnly="0" labelOnly="1" outline="0" axis="axisValues" fieldPosition="0"/>
    </format>
    <format dxfId="784">
      <pivotArea collapsedLevelsAreSubtotals="1" fieldPosition="0">
        <references count="1">
          <reference field="0" count="1">
            <x v="1"/>
          </reference>
        </references>
      </pivotArea>
    </format>
    <format dxfId="783">
      <pivotArea collapsedLevelsAreSubtotals="1" fieldPosition="0">
        <references count="1">
          <reference field="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3C85E-5841-47A5-BD56-FECE9747191F}"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80:B8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1">
    <i>
      <x v="1"/>
    </i>
  </rowItems>
  <colItems count="1">
    <i/>
  </colItems>
  <dataFields count="1">
    <dataField name="Sum of Sales" fld="11" baseField="0" baseItem="0" numFmtId="167"/>
  </dataFields>
  <formats count="11">
    <format dxfId="803">
      <pivotArea type="all" dataOnly="0" outline="0" fieldPosition="0"/>
    </format>
    <format dxfId="802">
      <pivotArea field="0" type="button" dataOnly="0" labelOnly="1" outline="0"/>
    </format>
    <format dxfId="801">
      <pivotArea type="all" dataOnly="0" outline="0" fieldPosition="0"/>
    </format>
    <format dxfId="800">
      <pivotArea outline="0" collapsedLevelsAreSubtotals="1" fieldPosition="0"/>
    </format>
    <format dxfId="799">
      <pivotArea field="3" type="button" dataOnly="0" labelOnly="1" outline="0"/>
    </format>
    <format dxfId="798">
      <pivotArea outline="0" collapsedLevelsAreSubtotals="1" fieldPosition="0"/>
    </format>
    <format dxfId="797">
      <pivotArea type="all" dataOnly="0" outline="0" fieldPosition="0"/>
    </format>
    <format dxfId="796">
      <pivotArea outline="0" collapsedLevelsAreSubtotals="1" fieldPosition="0"/>
    </format>
    <format dxfId="795">
      <pivotArea field="6" type="button" dataOnly="0" labelOnly="1" outline="0" axis="axisRow" fieldPosition="0"/>
    </format>
    <format dxfId="794">
      <pivotArea dataOnly="0" labelOnly="1" fieldPosition="0">
        <references count="1">
          <reference field="6" count="0"/>
        </references>
      </pivotArea>
    </format>
    <format dxfId="793">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6A58B2-4FD0-406A-AC3A-0BB6117F617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06:B10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Average of Sales" fld="11" subtotal="average" baseField="8" baseItem="0" numFmtId="164"/>
  </dataFields>
  <formats count="15">
    <format dxfId="818">
      <pivotArea type="all" dataOnly="0" outline="0" fieldPosition="0"/>
    </format>
    <format dxfId="817">
      <pivotArea field="0" type="button" dataOnly="0" labelOnly="1" outline="0"/>
    </format>
    <format dxfId="816">
      <pivotArea type="all" dataOnly="0" outline="0" fieldPosition="0"/>
    </format>
    <format dxfId="815">
      <pivotArea outline="0" collapsedLevelsAreSubtotals="1" fieldPosition="0"/>
    </format>
    <format dxfId="814">
      <pivotArea field="3" type="button" dataOnly="0" labelOnly="1" outline="0"/>
    </format>
    <format dxfId="813">
      <pivotArea outline="0" collapsedLevelsAreSubtotals="1" fieldPosition="0"/>
    </format>
    <format dxfId="812">
      <pivotArea type="all" dataOnly="0" outline="0" fieldPosition="0"/>
    </format>
    <format dxfId="811">
      <pivotArea outline="0" collapsedLevelsAreSubtotals="1" fieldPosition="0"/>
    </format>
    <format dxfId="810">
      <pivotArea field="6" type="button" dataOnly="0" labelOnly="1" outline="0"/>
    </format>
    <format dxfId="809">
      <pivotArea outline="0" collapsedLevelsAreSubtotals="1" fieldPosition="0"/>
    </format>
    <format dxfId="808">
      <pivotArea type="all" dataOnly="0" outline="0" fieldPosition="0"/>
    </format>
    <format dxfId="807">
      <pivotArea outline="0" collapsedLevelsAreSubtotals="1" fieldPosition="0"/>
    </format>
    <format dxfId="806">
      <pivotArea field="8" type="button" dataOnly="0" labelOnly="1" outline="0" axis="axisRow" fieldPosition="0"/>
    </format>
    <format dxfId="805">
      <pivotArea dataOnly="0" labelOnly="1" fieldPosition="0">
        <references count="1">
          <reference field="8" count="0"/>
        </references>
      </pivotArea>
    </format>
    <format dxfId="804">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B3CE01-09DF-4C23-949E-0C2A14458C5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4: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3"/>
  </rowFields>
  <rowItems count="16">
    <i>
      <x v="12"/>
    </i>
    <i>
      <x v="11"/>
    </i>
    <i>
      <x v="2"/>
    </i>
    <i>
      <x v="8"/>
    </i>
    <i>
      <x v="15"/>
    </i>
    <i>
      <x v="14"/>
    </i>
    <i>
      <x v="1"/>
    </i>
    <i>
      <x v="7"/>
    </i>
    <i>
      <x v="9"/>
    </i>
    <i>
      <x v="10"/>
    </i>
    <i>
      <x/>
    </i>
    <i>
      <x v="3"/>
    </i>
    <i>
      <x v="5"/>
    </i>
    <i>
      <x v="4"/>
    </i>
    <i>
      <x v="13"/>
    </i>
    <i>
      <x v="6"/>
    </i>
  </rowItems>
  <colItems count="1">
    <i/>
  </colItems>
  <dataFields count="1">
    <dataField name="Sum of Sales" fld="11" baseField="0" baseItem="0" numFmtId="167"/>
  </dataFields>
  <formats count="9">
    <format dxfId="827">
      <pivotArea type="all" dataOnly="0" outline="0" fieldPosition="0"/>
    </format>
    <format dxfId="826">
      <pivotArea field="0" type="button" dataOnly="0" labelOnly="1" outline="0"/>
    </format>
    <format dxfId="825">
      <pivotArea type="all" dataOnly="0" outline="0" fieldPosition="0"/>
    </format>
    <format dxfId="824">
      <pivotArea outline="0" collapsedLevelsAreSubtotals="1" fieldPosition="0"/>
    </format>
    <format dxfId="823">
      <pivotArea field="3" type="button" dataOnly="0" labelOnly="1" outline="0" axis="axisRow" fieldPosition="0"/>
    </format>
    <format dxfId="822">
      <pivotArea dataOnly="0" labelOnly="1" fieldPosition="0">
        <references count="1">
          <reference field="3" count="0"/>
        </references>
      </pivotArea>
    </format>
    <format dxfId="821">
      <pivotArea dataOnly="0" labelOnly="1" outline="0" axis="axisValues" fieldPosition="0"/>
    </format>
    <format dxfId="820">
      <pivotArea collapsedLevelsAreSubtotals="1" fieldPosition="0">
        <references count="1">
          <reference field="3" count="1">
            <x v="12"/>
          </reference>
        </references>
      </pivotArea>
    </format>
    <format dxfId="8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E54117-1DF5-4105-B506-43B6F1612C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3">
    <format dxfId="830">
      <pivotArea type="all" dataOnly="0" outline="0" fieldPosition="0"/>
    </format>
    <format dxfId="829">
      <pivotArea outline="0" collapsedLevelsAreSubtotals="1" fieldPosition="0"/>
    </format>
    <format dxfId="82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016618-5E66-49AB-AB01-7F734A04ECEC}"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91:B9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Sum of Sales" fld="11" baseField="0" baseItem="0" numFmtId="167"/>
  </dataFields>
  <formats count="11">
    <format dxfId="841">
      <pivotArea type="all" dataOnly="0" outline="0" fieldPosition="0"/>
    </format>
    <format dxfId="840">
      <pivotArea field="0" type="button" dataOnly="0" labelOnly="1" outline="0"/>
    </format>
    <format dxfId="839">
      <pivotArea type="all" dataOnly="0" outline="0" fieldPosition="0"/>
    </format>
    <format dxfId="838">
      <pivotArea outline="0" collapsedLevelsAreSubtotals="1" fieldPosition="0"/>
    </format>
    <format dxfId="837">
      <pivotArea field="3" type="button" dataOnly="0" labelOnly="1" outline="0"/>
    </format>
    <format dxfId="836">
      <pivotArea outline="0" collapsedLevelsAreSubtotals="1" fieldPosition="0"/>
    </format>
    <format dxfId="835">
      <pivotArea type="all" dataOnly="0" outline="0" fieldPosition="0"/>
    </format>
    <format dxfId="834">
      <pivotArea outline="0" collapsedLevelsAreSubtotals="1" fieldPosition="0"/>
    </format>
    <format dxfId="833">
      <pivotArea field="8" type="button" dataOnly="0" labelOnly="1" outline="0" axis="axisRow" fieldPosition="0"/>
    </format>
    <format dxfId="832">
      <pivotArea dataOnly="0" labelOnly="1" fieldPosition="0">
        <references count="1">
          <reference field="8" count="0"/>
        </references>
      </pivotArea>
    </format>
    <format dxfId="831">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82EEFC-8D30-47E1-9126-54739B07DB9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8:B6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h="1" x="0"/>
        <item x="2"/>
        <item h="1" x="1"/>
        <item t="default"/>
      </items>
    </pivotField>
    <pivotField axis="axisRow" showAll="0">
      <items count="4">
        <item h="1" x="2"/>
        <item x="0"/>
        <item h="1"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1">
    <i>
      <x v="1"/>
    </i>
  </rowItems>
  <colItems count="1">
    <i/>
  </colItems>
  <dataFields count="1">
    <dataField name="Sum of Sales" fld="11" baseField="0" baseItem="0" numFmtId="167"/>
  </dataFields>
  <formats count="11">
    <format dxfId="852">
      <pivotArea type="all" dataOnly="0" outline="0" fieldPosition="0"/>
    </format>
    <format dxfId="851">
      <pivotArea field="0" type="button" dataOnly="0" labelOnly="1" outline="0"/>
    </format>
    <format dxfId="850">
      <pivotArea type="all" dataOnly="0" outline="0" fieldPosition="0"/>
    </format>
    <format dxfId="849">
      <pivotArea outline="0" collapsedLevelsAreSubtotals="1" fieldPosition="0"/>
    </format>
    <format dxfId="848">
      <pivotArea field="3" type="button" dataOnly="0" labelOnly="1" outline="0"/>
    </format>
    <format dxfId="847">
      <pivotArea outline="0" collapsedLevelsAreSubtotals="1" fieldPosition="0"/>
    </format>
    <format dxfId="846">
      <pivotArea type="all" dataOnly="0" outline="0" fieldPosition="0"/>
    </format>
    <format dxfId="845">
      <pivotArea outline="0" collapsedLevelsAreSubtotals="1" fieldPosition="0"/>
    </format>
    <format dxfId="844">
      <pivotArea field="7" type="button" dataOnly="0" labelOnly="1" outline="0" axis="axisRow" fieldPosition="0"/>
    </format>
    <format dxfId="843">
      <pivotArea dataOnly="0" labelOnly="1" fieldPosition="0">
        <references count="1">
          <reference field="7" count="0"/>
        </references>
      </pivotArea>
    </format>
    <format dxfId="84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1" format="1">
      <pivotArea type="data" outline="0" fieldPosition="0">
        <references count="2">
          <reference field="4294967294" count="1" selected="0">
            <x v="0"/>
          </reference>
          <reference field="7" count="1" selected="0">
            <x v="0"/>
          </reference>
        </references>
      </pivotArea>
    </chartFormat>
    <chartFormat chart="21" format="2">
      <pivotArea type="data" outline="0" fieldPosition="0">
        <references count="2">
          <reference field="4294967294" count="1" selected="0">
            <x v="0"/>
          </reference>
          <reference field="7" count="1" selected="0">
            <x v="1"/>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40630F-37F8-4037-AE1D-D3E1297C207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54:B5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h="1" x="0"/>
        <item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4"/>
  </rowFields>
  <rowItems count="2">
    <i>
      <x v="7"/>
    </i>
    <i>
      <x v="3"/>
    </i>
  </rowItems>
  <colItems count="1">
    <i/>
  </colItems>
  <dataFields count="1">
    <dataField name="Sum of Sales" fld="11" baseField="0" baseItem="0" numFmtId="167"/>
  </dataFields>
  <formats count="11">
    <format dxfId="863">
      <pivotArea type="all" dataOnly="0" outline="0" fieldPosition="0"/>
    </format>
    <format dxfId="862">
      <pivotArea field="0" type="button" dataOnly="0" labelOnly="1" outline="0"/>
    </format>
    <format dxfId="861">
      <pivotArea type="all" dataOnly="0" outline="0" fieldPosition="0"/>
    </format>
    <format dxfId="860">
      <pivotArea outline="0" collapsedLevelsAreSubtotals="1" fieldPosition="0"/>
    </format>
    <format dxfId="859">
      <pivotArea field="3" type="button" dataOnly="0" labelOnly="1" outline="0"/>
    </format>
    <format dxfId="858">
      <pivotArea outline="0" collapsedLevelsAreSubtotals="1" fieldPosition="0"/>
    </format>
    <format dxfId="857">
      <pivotArea type="all" dataOnly="0" outline="0" fieldPosition="0"/>
    </format>
    <format dxfId="856">
      <pivotArea outline="0" collapsedLevelsAreSubtotals="1" fieldPosition="0"/>
    </format>
    <format dxfId="855">
      <pivotArea field="4" type="button" dataOnly="0" labelOnly="1" outline="0" axis="axisRow" fieldPosition="0"/>
    </format>
    <format dxfId="854">
      <pivotArea dataOnly="0" labelOnly="1" fieldPosition="0">
        <references count="1">
          <reference field="4" count="0"/>
        </references>
      </pivotArea>
    </format>
    <format dxfId="853">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3"/>
          </reference>
        </references>
      </pivotArea>
    </chartFormat>
    <chartFormat chart="19" format="6">
      <pivotArea type="data" outline="0" fieldPosition="0">
        <references count="2">
          <reference field="4294967294" count="1" selected="0">
            <x v="0"/>
          </reference>
          <reference field="4" count="1" selected="0">
            <x v="8"/>
          </reference>
        </references>
      </pivotArea>
    </chartFormat>
    <chartFormat chart="19" format="7">
      <pivotArea type="data" outline="0" fieldPosition="0">
        <references count="2">
          <reference field="4294967294" count="1" selected="0">
            <x v="0"/>
          </reference>
          <reference field="4" count="1" selected="0">
            <x v="2"/>
          </reference>
        </references>
      </pivotArea>
    </chartFormat>
    <chartFormat chart="19" format="8">
      <pivotArea type="data" outline="0" fieldPosition="0">
        <references count="2">
          <reference field="4294967294" count="1" selected="0">
            <x v="0"/>
          </reference>
          <reference field="4" count="1" selected="0">
            <x v="4"/>
          </reference>
        </references>
      </pivotArea>
    </chartFormat>
    <chartFormat chart="19" format="9">
      <pivotArea type="data" outline="0" fieldPosition="0">
        <references count="2">
          <reference field="4294967294" count="1" selected="0">
            <x v="0"/>
          </reference>
          <reference field="4" count="1" selected="0">
            <x v="5"/>
          </reference>
        </references>
      </pivotArea>
    </chartFormat>
    <chartFormat chart="19" format="10">
      <pivotArea type="data" outline="0" fieldPosition="0">
        <references count="2">
          <reference field="4294967294" count="1" selected="0">
            <x v="0"/>
          </reference>
          <reference field="4" count="1" selected="0">
            <x v="6"/>
          </reference>
        </references>
      </pivotArea>
    </chartFormat>
    <chartFormat chart="19" format="1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E51C676-62DA-4EF0-88B8-A16B2BAAE548}" sourceName="Outlet Size">
  <pivotTables>
    <pivotTable tabId="2" name="PivotTable1"/>
    <pivotTable tabId="2" name="PivotTable4"/>
    <pivotTable tabId="2" name="PivotTable5"/>
    <pivotTable tabId="2" name="PivotTable7"/>
    <pivotTable tabId="2" name="PivotTable8"/>
    <pivotTable tabId="2" name="PivotTable9"/>
    <pivotTable tabId="2" name="PivotTable10"/>
    <pivotTable tabId="2" name="PivotTable11"/>
    <pivotTable tabId="2" name="PivotTable12"/>
    <pivotTable tabId="2" name="PivotTable13"/>
  </pivotTables>
  <data>
    <tabular pivotCacheId="123561042">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A01A5BD-96CB-4E8F-9423-ED1569D7472E}" sourceName="Outlet Location Type">
  <pivotTables>
    <pivotTable tabId="2" name="PivotTable11"/>
    <pivotTable tabId="2" name="PivotTable1"/>
    <pivotTable tabId="2" name="PivotTable10"/>
    <pivotTable tabId="2" name="PivotTable12"/>
    <pivotTable tabId="2" name="PivotTable13"/>
    <pivotTable tabId="2" name="PivotTable4"/>
    <pivotTable tabId="2" name="PivotTable5"/>
    <pivotTable tabId="2" name="PivotTable7"/>
    <pivotTable tabId="2" name="PivotTable8"/>
    <pivotTable tabId="2" name="PivotTable9"/>
  </pivotTables>
  <data>
    <tabular pivotCacheId="123561042">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B265B96-C0E6-4173-90D9-AF1CB8449048}" sourceName="Item Type">
  <pivotTables>
    <pivotTable tabId="2" name="PivotTable11"/>
    <pivotTable tabId="2" name="PivotTable1"/>
    <pivotTable tabId="2" name="PivotTable10"/>
    <pivotTable tabId="2" name="PivotTable12"/>
    <pivotTable tabId="2" name="PivotTable13"/>
    <pivotTable tabId="2" name="PivotTable4"/>
    <pivotTable tabId="2" name="PivotTable5"/>
    <pivotTable tabId="2" name="PivotTable7"/>
    <pivotTable tabId="2" name="PivotTable8"/>
    <pivotTable tabId="2" name="PivotTable9"/>
  </pivotTables>
  <data>
    <tabular pivotCacheId="12356104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3F512C5-011D-45DF-B224-F60BAFC8E512}" cache="Slicer_Outlet_Size" caption="Outlet Size" rowHeight="262466"/>
  <slicer name="Outlet Location Type" xr10:uid="{3D081976-5908-44ED-A3F5-CD7A1C1E1BF3}" cache="Slicer_Outlet_Location_Type" caption="Outlet Location Type" rowHeight="262466"/>
  <slicer name="Item Type" xr10:uid="{84FB1193-864B-4601-8885-FBFBBFD913F4}"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29BD191-488D-48A7-8D50-2B60CC22160F}" cache="Slicer_Outlet_Size" caption="Outlet Size" style="Blinkit Analysis" rowHeight="262466"/>
  <slicer name="Outlet Location" xr10:uid="{322EAA19-5E98-4358-93E6-532843ABBBB0}" cache="Slicer_Outlet_Location_Type" caption="Outlet Location" style="Blinkit Analysis" rowHeight="262466"/>
  <slicer name="Item Type 1" xr10:uid="{20067EB1-B20A-4520-80A8-32B7DAABF0B3}"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6CCD887-2007-47A5-9FA8-5027F31A66C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C1" workbookViewId="0">
      <selection activeCell="D3" sqref="D3"/>
    </sheetView>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1612</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3984-F6CA-47DA-9EE1-AA9C4BDE9B18}">
  <dimension ref="A1:J128"/>
  <sheetViews>
    <sheetView workbookViewId="0"/>
  </sheetViews>
  <sheetFormatPr defaultRowHeight="15.5" x14ac:dyDescent="0.35"/>
  <cols>
    <col min="1" max="1" width="12.25" bestFit="1" customWidth="1"/>
    <col min="2" max="2" width="11.25" bestFit="1" customWidth="1"/>
    <col min="3" max="3" width="7.1640625" bestFit="1" customWidth="1"/>
    <col min="4" max="4" width="15.58203125" bestFit="1" customWidth="1"/>
  </cols>
  <sheetData>
    <row r="1" spans="1:4" ht="16" thickBot="1" x14ac:dyDescent="0.4"/>
    <row r="2" spans="1:4" ht="16" thickBot="1" x14ac:dyDescent="0.4">
      <c r="A2" s="28" t="s">
        <v>1620</v>
      </c>
      <c r="B2" s="26"/>
      <c r="C2" s="26"/>
      <c r="D2" s="27"/>
    </row>
    <row r="3" spans="1:4" ht="16" thickBot="1" x14ac:dyDescent="0.4">
      <c r="A3" s="9" t="s">
        <v>1610</v>
      </c>
      <c r="B3" s="10" t="s">
        <v>1611</v>
      </c>
      <c r="C3" s="10" t="s">
        <v>1614</v>
      </c>
      <c r="D3" s="11" t="s">
        <v>1615</v>
      </c>
    </row>
    <row r="4" spans="1:4" ht="16" thickBot="1" x14ac:dyDescent="0.4">
      <c r="A4" s="29">
        <v>78048.314399999887</v>
      </c>
      <c r="B4" s="30">
        <v>136.2099727748689</v>
      </c>
      <c r="C4" s="30">
        <v>573</v>
      </c>
      <c r="D4" s="31">
        <v>4.0062827225130881</v>
      </c>
    </row>
    <row r="5" spans="1:4" x14ac:dyDescent="0.35">
      <c r="A5" s="4"/>
      <c r="D5" s="5"/>
    </row>
    <row r="6" spans="1:4" x14ac:dyDescent="0.35">
      <c r="A6" s="4"/>
      <c r="D6" s="5"/>
    </row>
    <row r="7" spans="1:4" x14ac:dyDescent="0.35">
      <c r="A7" s="4" t="s">
        <v>1616</v>
      </c>
      <c r="B7" t="s">
        <v>1617</v>
      </c>
      <c r="C7" t="s">
        <v>1618</v>
      </c>
      <c r="D7" s="5" t="s">
        <v>1619</v>
      </c>
    </row>
    <row r="8" spans="1:4" ht="16" thickBot="1" x14ac:dyDescent="0.4">
      <c r="A8" s="12">
        <f>GETPIVOTDATA("Sum of Sales",$A$3)</f>
        <v>78048.314399999887</v>
      </c>
      <c r="B8" s="6">
        <f>GETPIVOTDATA("Average of Sales",$A$3)</f>
        <v>136.2099727748689</v>
      </c>
      <c r="C8" s="7">
        <f>GETPIVOTDATA("Number of Items",$A$3)</f>
        <v>573</v>
      </c>
      <c r="D8" s="8">
        <f>GETPIVOTDATA("Average of Rating",$A$3)</f>
        <v>4.0062827225130881</v>
      </c>
    </row>
    <row r="10" spans="1:4" ht="16" thickBot="1" x14ac:dyDescent="0.4"/>
    <row r="11" spans="1:4" ht="16" thickBot="1" x14ac:dyDescent="0.4">
      <c r="A11" s="25" t="s">
        <v>1621</v>
      </c>
      <c r="B11" s="26"/>
      <c r="C11" s="26"/>
      <c r="D11" s="27"/>
    </row>
    <row r="12" spans="1:4" ht="16" thickBot="1" x14ac:dyDescent="0.4">
      <c r="A12" s="32" t="s">
        <v>1613</v>
      </c>
      <c r="B12" s="17" t="s">
        <v>1610</v>
      </c>
      <c r="D12" s="5"/>
    </row>
    <row r="13" spans="1:4" x14ac:dyDescent="0.35">
      <c r="A13" s="18" t="s">
        <v>17</v>
      </c>
      <c r="B13" s="20">
        <v>51084.156800000004</v>
      </c>
      <c r="D13" s="5"/>
    </row>
    <row r="14" spans="1:4" ht="16" thickBot="1" x14ac:dyDescent="0.4">
      <c r="A14" s="14" t="s">
        <v>10</v>
      </c>
      <c r="B14" s="19">
        <v>26964.157599999991</v>
      </c>
      <c r="D14" s="5"/>
    </row>
    <row r="15" spans="1:4" x14ac:dyDescent="0.35">
      <c r="D15" s="5"/>
    </row>
    <row r="16" spans="1:4" x14ac:dyDescent="0.35">
      <c r="A16" s="4"/>
      <c r="D16" s="5"/>
    </row>
    <row r="17" spans="1:8" x14ac:dyDescent="0.35">
      <c r="A17" s="4"/>
      <c r="D17" s="5"/>
    </row>
    <row r="18" spans="1:8" ht="16" thickBot="1" x14ac:dyDescent="0.4">
      <c r="A18" s="15"/>
      <c r="B18" s="7"/>
      <c r="C18" s="7"/>
      <c r="D18" s="16"/>
    </row>
    <row r="21" spans="1:8" ht="16" thickBot="1" x14ac:dyDescent="0.4"/>
    <row r="22" spans="1:8" ht="16" thickBot="1" x14ac:dyDescent="0.4">
      <c r="A22" s="25" t="s">
        <v>1624</v>
      </c>
      <c r="B22" s="26"/>
      <c r="C22" s="26"/>
      <c r="D22" s="26"/>
      <c r="E22" s="26"/>
      <c r="F22" s="26"/>
      <c r="G22" s="26"/>
      <c r="H22" s="27"/>
    </row>
    <row r="23" spans="1:8" ht="16" thickBot="1" x14ac:dyDescent="0.4">
      <c r="A23" s="21" t="s">
        <v>1610</v>
      </c>
      <c r="B23" s="32" t="s">
        <v>1623</v>
      </c>
      <c r="C23" s="17"/>
      <c r="H23" s="5"/>
    </row>
    <row r="24" spans="1:8" ht="16" thickBot="1" x14ac:dyDescent="0.4">
      <c r="A24" s="21" t="s">
        <v>1613</v>
      </c>
      <c r="B24" s="9" t="s">
        <v>10</v>
      </c>
      <c r="C24" s="11" t="s">
        <v>17</v>
      </c>
      <c r="H24" s="5"/>
    </row>
    <row r="25" spans="1:8" ht="16" thickBot="1" x14ac:dyDescent="0.4">
      <c r="A25" s="34" t="s">
        <v>34</v>
      </c>
      <c r="B25" s="37">
        <v>26964.157599999991</v>
      </c>
      <c r="C25" s="38">
        <v>51084.156800000004</v>
      </c>
      <c r="H25" s="5"/>
    </row>
    <row r="26" spans="1:8" x14ac:dyDescent="0.35">
      <c r="H26" s="5"/>
    </row>
    <row r="27" spans="1:8" ht="16" thickBot="1" x14ac:dyDescent="0.4">
      <c r="H27" s="5"/>
    </row>
    <row r="28" spans="1:8" x14ac:dyDescent="0.35">
      <c r="A28" s="4"/>
      <c r="H28" s="5"/>
    </row>
    <row r="29" spans="1:8" x14ac:dyDescent="0.35">
      <c r="A29" s="4"/>
      <c r="H29" s="5"/>
    </row>
    <row r="30" spans="1:8" x14ac:dyDescent="0.35">
      <c r="A30" s="4"/>
      <c r="H30" s="5"/>
    </row>
    <row r="31" spans="1:8" ht="16" thickBot="1" x14ac:dyDescent="0.4">
      <c r="A31" s="15"/>
      <c r="B31" s="7"/>
      <c r="C31" s="7"/>
      <c r="D31" s="7"/>
      <c r="E31" s="7"/>
      <c r="F31" s="7"/>
      <c r="G31" s="7"/>
      <c r="H31" s="16"/>
    </row>
    <row r="32" spans="1:8" ht="16" thickBot="1" x14ac:dyDescent="0.4"/>
    <row r="33" spans="1:9" ht="16" thickBot="1" x14ac:dyDescent="0.4">
      <c r="A33" s="25" t="s">
        <v>1622</v>
      </c>
      <c r="B33" s="26"/>
      <c r="C33" s="26"/>
      <c r="D33" s="26"/>
      <c r="E33" s="26"/>
      <c r="F33" s="26"/>
      <c r="G33" s="26"/>
      <c r="H33" s="26"/>
      <c r="I33" s="26"/>
    </row>
    <row r="34" spans="1:9" ht="16" thickBot="1" x14ac:dyDescent="0.4">
      <c r="A34" s="21" t="s">
        <v>1613</v>
      </c>
      <c r="B34" s="17" t="s">
        <v>1610</v>
      </c>
      <c r="I34" s="5"/>
    </row>
    <row r="35" spans="1:9" x14ac:dyDescent="0.35">
      <c r="A35" s="18" t="s">
        <v>153</v>
      </c>
      <c r="B35" s="22">
        <v>392.95620000000002</v>
      </c>
      <c r="I35" s="5"/>
    </row>
    <row r="36" spans="1:9" x14ac:dyDescent="0.35">
      <c r="A36" s="13" t="s">
        <v>64</v>
      </c>
      <c r="B36" s="23">
        <v>712.61380000000008</v>
      </c>
      <c r="I36" s="5"/>
    </row>
    <row r="37" spans="1:9" x14ac:dyDescent="0.35">
      <c r="A37" s="13" t="s">
        <v>74</v>
      </c>
      <c r="B37" s="23">
        <v>1010.2528</v>
      </c>
      <c r="I37" s="5"/>
    </row>
    <row r="38" spans="1:9" x14ac:dyDescent="0.35">
      <c r="A38" s="13" t="s">
        <v>19</v>
      </c>
      <c r="B38" s="23">
        <v>1475.2733999999998</v>
      </c>
      <c r="I38" s="5"/>
    </row>
    <row r="39" spans="1:9" x14ac:dyDescent="0.35">
      <c r="A39" s="13" t="s">
        <v>159</v>
      </c>
      <c r="B39" s="23">
        <v>1528.3109999999999</v>
      </c>
      <c r="I39" s="5"/>
    </row>
    <row r="40" spans="1:9" x14ac:dyDescent="0.35">
      <c r="A40" s="13" t="s">
        <v>32</v>
      </c>
      <c r="B40" s="23">
        <v>2156.2261999999996</v>
      </c>
      <c r="I40" s="5"/>
    </row>
    <row r="41" spans="1:9" x14ac:dyDescent="0.35">
      <c r="A41" s="13" t="s">
        <v>57</v>
      </c>
      <c r="B41" s="23">
        <v>2571.4248000000007</v>
      </c>
      <c r="I41" s="5"/>
    </row>
    <row r="42" spans="1:9" x14ac:dyDescent="0.35">
      <c r="A42" s="13" t="s">
        <v>61</v>
      </c>
      <c r="B42" s="23">
        <v>2855.2136</v>
      </c>
      <c r="I42" s="5"/>
    </row>
    <row r="43" spans="1:9" x14ac:dyDescent="0.35">
      <c r="A43" s="13" t="s">
        <v>42</v>
      </c>
      <c r="B43" s="23">
        <v>4248.5486000000001</v>
      </c>
      <c r="I43" s="5"/>
    </row>
    <row r="44" spans="1:9" x14ac:dyDescent="0.35">
      <c r="A44" s="13" t="s">
        <v>54</v>
      </c>
      <c r="B44" s="23">
        <v>4336.6684000000005</v>
      </c>
      <c r="I44" s="5"/>
    </row>
    <row r="45" spans="1:9" x14ac:dyDescent="0.35">
      <c r="A45" s="13" t="s">
        <v>95</v>
      </c>
      <c r="B45" s="23">
        <v>4852.2898000000014</v>
      </c>
      <c r="I45" s="5"/>
    </row>
    <row r="46" spans="1:9" x14ac:dyDescent="0.35">
      <c r="A46" s="13" t="s">
        <v>28</v>
      </c>
      <c r="B46" s="23">
        <v>6114.5890000000009</v>
      </c>
      <c r="I46" s="5"/>
    </row>
    <row r="47" spans="1:9" x14ac:dyDescent="0.35">
      <c r="A47" s="13" t="s">
        <v>24</v>
      </c>
      <c r="B47" s="23">
        <v>6998.2973999999977</v>
      </c>
      <c r="I47" s="5"/>
    </row>
    <row r="48" spans="1:9" x14ac:dyDescent="0.35">
      <c r="A48" s="13" t="s">
        <v>67</v>
      </c>
      <c r="B48" s="23">
        <v>7834.284200000001</v>
      </c>
      <c r="I48" s="5"/>
    </row>
    <row r="49" spans="1:9" x14ac:dyDescent="0.35">
      <c r="A49" s="13" t="s">
        <v>48</v>
      </c>
      <c r="B49" s="23">
        <v>10817.957199999997</v>
      </c>
      <c r="I49" s="5"/>
    </row>
    <row r="50" spans="1:9" ht="16" thickBot="1" x14ac:dyDescent="0.4">
      <c r="A50" s="14" t="s">
        <v>12</v>
      </c>
      <c r="B50" s="19">
        <v>20143.408000000007</v>
      </c>
      <c r="C50" s="7"/>
      <c r="D50" s="7"/>
      <c r="E50" s="7"/>
      <c r="F50" s="7"/>
      <c r="G50" s="7"/>
      <c r="H50" s="7"/>
      <c r="I50" s="16"/>
    </row>
    <row r="52" spans="1:9" ht="16" thickBot="1" x14ac:dyDescent="0.4"/>
    <row r="53" spans="1:9" ht="16" thickBot="1" x14ac:dyDescent="0.4">
      <c r="A53" s="25" t="s">
        <v>1625</v>
      </c>
      <c r="B53" s="26"/>
      <c r="C53" s="26"/>
      <c r="D53" s="26"/>
      <c r="E53" s="26"/>
      <c r="F53" s="26"/>
      <c r="G53" s="27"/>
    </row>
    <row r="54" spans="1:9" ht="16" thickBot="1" x14ac:dyDescent="0.4">
      <c r="A54" s="21" t="s">
        <v>1613</v>
      </c>
      <c r="B54" s="17" t="s">
        <v>1610</v>
      </c>
      <c r="G54" s="5"/>
    </row>
    <row r="55" spans="1:9" x14ac:dyDescent="0.35">
      <c r="A55" s="18">
        <v>2020</v>
      </c>
      <c r="B55" s="22">
        <v>33925.87279999999</v>
      </c>
      <c r="G55" s="5"/>
    </row>
    <row r="56" spans="1:9" ht="16" thickBot="1" x14ac:dyDescent="0.4">
      <c r="A56" s="14">
        <v>2015</v>
      </c>
      <c r="B56" s="19">
        <v>44122.441600000042</v>
      </c>
      <c r="G56" s="5"/>
    </row>
    <row r="57" spans="1:9" x14ac:dyDescent="0.35">
      <c r="G57" s="5"/>
    </row>
    <row r="58" spans="1:9" x14ac:dyDescent="0.35">
      <c r="G58" s="5"/>
    </row>
    <row r="59" spans="1:9" x14ac:dyDescent="0.35">
      <c r="G59" s="5"/>
    </row>
    <row r="60" spans="1:9" ht="16" thickBot="1" x14ac:dyDescent="0.4">
      <c r="G60" s="5"/>
    </row>
    <row r="61" spans="1:9" x14ac:dyDescent="0.35">
      <c r="G61" s="5"/>
    </row>
    <row r="62" spans="1:9" x14ac:dyDescent="0.35">
      <c r="G62" s="5"/>
    </row>
    <row r="63" spans="1:9" ht="16" thickBot="1" x14ac:dyDescent="0.4">
      <c r="C63" s="7"/>
      <c r="D63" s="7"/>
      <c r="E63" s="7"/>
      <c r="F63" s="7"/>
      <c r="G63" s="16"/>
    </row>
    <row r="66" spans="1:10" ht="16" thickBot="1" x14ac:dyDescent="0.4"/>
    <row r="67" spans="1:10" ht="16" thickBot="1" x14ac:dyDescent="0.4">
      <c r="A67" s="25" t="s">
        <v>1626</v>
      </c>
      <c r="B67" s="26"/>
      <c r="C67" s="26"/>
      <c r="D67" s="27"/>
    </row>
    <row r="68" spans="1:10" ht="16" thickBot="1" x14ac:dyDescent="0.4">
      <c r="A68" s="21" t="s">
        <v>1613</v>
      </c>
      <c r="B68" s="17" t="s">
        <v>1610</v>
      </c>
      <c r="D68" s="5"/>
    </row>
    <row r="69" spans="1:10" ht="16" thickBot="1" x14ac:dyDescent="0.4">
      <c r="A69" s="34" t="s">
        <v>15</v>
      </c>
      <c r="B69" s="33">
        <v>78048.314399999887</v>
      </c>
      <c r="D69" s="5"/>
    </row>
    <row r="70" spans="1:10" x14ac:dyDescent="0.35">
      <c r="D70" s="5"/>
    </row>
    <row r="71" spans="1:10" ht="16" thickBot="1" x14ac:dyDescent="0.4">
      <c r="D71" s="5"/>
    </row>
    <row r="72" spans="1:10" x14ac:dyDescent="0.35">
      <c r="A72" s="4"/>
      <c r="D72" s="5"/>
    </row>
    <row r="73" spans="1:10" x14ac:dyDescent="0.35">
      <c r="A73" s="4"/>
      <c r="D73" s="5"/>
    </row>
    <row r="74" spans="1:10" x14ac:dyDescent="0.35">
      <c r="A74" s="4"/>
      <c r="D74" s="5"/>
    </row>
    <row r="75" spans="1:10" ht="16" thickBot="1" x14ac:dyDescent="0.4">
      <c r="A75" s="15"/>
      <c r="B75" s="7"/>
      <c r="C75" s="7"/>
      <c r="D75" s="16"/>
    </row>
    <row r="77" spans="1:10" ht="16" thickBot="1" x14ac:dyDescent="0.4"/>
    <row r="78" spans="1:10" ht="16" thickBot="1" x14ac:dyDescent="0.4"/>
    <row r="79" spans="1:10" ht="16" thickBot="1" x14ac:dyDescent="0.4">
      <c r="A79" s="25" t="s">
        <v>1628</v>
      </c>
      <c r="B79" s="26"/>
      <c r="C79" s="26"/>
      <c r="D79" s="26"/>
      <c r="E79" s="26"/>
      <c r="F79" s="26"/>
      <c r="G79" s="26"/>
      <c r="H79" s="26"/>
      <c r="I79" s="26"/>
      <c r="J79" s="27"/>
    </row>
    <row r="80" spans="1:10" ht="16" thickBot="1" x14ac:dyDescent="0.4">
      <c r="A80" s="21" t="s">
        <v>1613</v>
      </c>
      <c r="B80" s="17" t="s">
        <v>1610</v>
      </c>
      <c r="D80" t="s">
        <v>1627</v>
      </c>
      <c r="E80" t="s">
        <v>1608</v>
      </c>
      <c r="J80" s="5"/>
    </row>
    <row r="81" spans="1:10" ht="16" thickBot="1" x14ac:dyDescent="0.4">
      <c r="A81" s="34" t="s">
        <v>34</v>
      </c>
      <c r="B81" s="33">
        <v>78048.314399999887</v>
      </c>
      <c r="D81" t="str">
        <f>A81</f>
        <v>Tier 2</v>
      </c>
      <c r="E81" s="24">
        <f>GETPIVOTDATA("Sales",$A$80,"Outlet Location Type",A81)</f>
        <v>78048.314399999887</v>
      </c>
      <c r="J81" s="5"/>
    </row>
    <row r="82" spans="1:10" x14ac:dyDescent="0.35">
      <c r="D82">
        <f t="shared" ref="D82:D83" si="0">A82</f>
        <v>0</v>
      </c>
      <c r="E82" s="24" t="e">
        <f t="shared" ref="E82:E83" si="1">GETPIVOTDATA("Sales",$A$80,"Outlet Location Type",A82)</f>
        <v>#REF!</v>
      </c>
      <c r="J82" s="5"/>
    </row>
    <row r="83" spans="1:10" ht="16" thickBot="1" x14ac:dyDescent="0.4">
      <c r="D83">
        <f t="shared" si="0"/>
        <v>0</v>
      </c>
      <c r="E83" s="24" t="e">
        <f t="shared" si="1"/>
        <v>#REF!</v>
      </c>
      <c r="J83" s="5"/>
    </row>
    <row r="84" spans="1:10" x14ac:dyDescent="0.35">
      <c r="A84" s="4"/>
      <c r="J84" s="5"/>
    </row>
    <row r="85" spans="1:10" x14ac:dyDescent="0.35">
      <c r="A85" s="4"/>
      <c r="J85" s="5"/>
    </row>
    <row r="86" spans="1:10" ht="16" thickBot="1" x14ac:dyDescent="0.4">
      <c r="A86" s="15"/>
      <c r="B86" s="7"/>
      <c r="C86" s="7"/>
      <c r="D86" s="7"/>
      <c r="E86" s="7"/>
      <c r="F86" s="7"/>
      <c r="G86" s="7"/>
      <c r="H86" s="7"/>
      <c r="I86" s="7"/>
      <c r="J86" s="16"/>
    </row>
    <row r="89" spans="1:10" ht="16" thickBot="1" x14ac:dyDescent="0.4"/>
    <row r="90" spans="1:10" ht="16" thickBot="1" x14ac:dyDescent="0.4">
      <c r="A90" s="1"/>
      <c r="B90" s="2"/>
      <c r="C90" s="2"/>
      <c r="D90" s="2"/>
      <c r="E90" s="2"/>
      <c r="F90" s="2"/>
      <c r="G90" s="3"/>
    </row>
    <row r="91" spans="1:10" ht="16" thickBot="1" x14ac:dyDescent="0.4">
      <c r="A91" s="21" t="s">
        <v>1613</v>
      </c>
      <c r="B91" s="17" t="s">
        <v>1610</v>
      </c>
      <c r="G91" s="5"/>
    </row>
    <row r="92" spans="1:10" ht="16" thickBot="1" x14ac:dyDescent="0.4">
      <c r="A92" s="34" t="s">
        <v>16</v>
      </c>
      <c r="B92" s="33">
        <v>78048.314399999887</v>
      </c>
      <c r="G92" s="5"/>
    </row>
    <row r="93" spans="1:10" x14ac:dyDescent="0.35">
      <c r="G93" s="5"/>
    </row>
    <row r="94" spans="1:10" x14ac:dyDescent="0.35">
      <c r="G94" s="5"/>
    </row>
    <row r="95" spans="1:10" ht="16" thickBot="1" x14ac:dyDescent="0.4">
      <c r="G95" s="5"/>
    </row>
    <row r="96" spans="1:10" x14ac:dyDescent="0.35">
      <c r="A96" s="4"/>
      <c r="G96" s="5"/>
    </row>
    <row r="97" spans="1:7" x14ac:dyDescent="0.35">
      <c r="A97" s="4"/>
      <c r="G97" s="5"/>
    </row>
    <row r="98" spans="1:7" x14ac:dyDescent="0.35">
      <c r="A98" s="4"/>
      <c r="G98" s="5"/>
    </row>
    <row r="99" spans="1:7" x14ac:dyDescent="0.35">
      <c r="A99" s="4"/>
      <c r="G99" s="5"/>
    </row>
    <row r="100" spans="1:7" x14ac:dyDescent="0.35">
      <c r="A100" s="4"/>
      <c r="G100" s="5"/>
    </row>
    <row r="101" spans="1:7" x14ac:dyDescent="0.35">
      <c r="A101" s="4"/>
      <c r="G101" s="5"/>
    </row>
    <row r="102" spans="1:7" x14ac:dyDescent="0.35">
      <c r="A102" s="4"/>
      <c r="G102" s="5"/>
    </row>
    <row r="103" spans="1:7" x14ac:dyDescent="0.35">
      <c r="A103" s="4"/>
      <c r="G103" s="5"/>
    </row>
    <row r="104" spans="1:7" x14ac:dyDescent="0.35">
      <c r="A104" s="4"/>
      <c r="G104" s="5"/>
    </row>
    <row r="105" spans="1:7" ht="16" thickBot="1" x14ac:dyDescent="0.4">
      <c r="A105" s="4"/>
      <c r="G105" s="5"/>
    </row>
    <row r="106" spans="1:7" ht="16" thickBot="1" x14ac:dyDescent="0.4">
      <c r="A106" s="21" t="s">
        <v>1613</v>
      </c>
      <c r="B106" s="17" t="s">
        <v>1611</v>
      </c>
      <c r="G106" s="5"/>
    </row>
    <row r="107" spans="1:7" ht="16" thickBot="1" x14ac:dyDescent="0.4">
      <c r="A107" s="34" t="s">
        <v>16</v>
      </c>
      <c r="B107" s="35">
        <v>136.2099727748689</v>
      </c>
      <c r="G107" s="5"/>
    </row>
    <row r="108" spans="1:7" x14ac:dyDescent="0.35">
      <c r="G108" s="5"/>
    </row>
    <row r="109" spans="1:7" x14ac:dyDescent="0.35">
      <c r="G109" s="5"/>
    </row>
    <row r="110" spans="1:7" ht="16" thickBot="1" x14ac:dyDescent="0.4">
      <c r="G110" s="5"/>
    </row>
    <row r="111" spans="1:7" x14ac:dyDescent="0.35">
      <c r="A111" s="4"/>
      <c r="G111" s="5"/>
    </row>
    <row r="112" spans="1:7" x14ac:dyDescent="0.35">
      <c r="A112" s="4"/>
      <c r="G112" s="5"/>
    </row>
    <row r="113" spans="1:7" x14ac:dyDescent="0.35">
      <c r="A113" s="4"/>
      <c r="G113" s="5"/>
    </row>
    <row r="114" spans="1:7" x14ac:dyDescent="0.35">
      <c r="A114" s="4"/>
      <c r="G114" s="5"/>
    </row>
    <row r="115" spans="1:7" x14ac:dyDescent="0.35">
      <c r="A115" s="4"/>
      <c r="G115" s="5"/>
    </row>
    <row r="116" spans="1:7" x14ac:dyDescent="0.35">
      <c r="A116" s="4"/>
      <c r="G116" s="5"/>
    </row>
    <row r="117" spans="1:7" x14ac:dyDescent="0.35">
      <c r="A117" s="4"/>
      <c r="G117" s="5"/>
    </row>
    <row r="118" spans="1:7" ht="16" thickBot="1" x14ac:dyDescent="0.4">
      <c r="A118" s="4"/>
      <c r="G118" s="5"/>
    </row>
    <row r="119" spans="1:7" ht="16" thickBot="1" x14ac:dyDescent="0.4">
      <c r="A119" s="21" t="s">
        <v>1613</v>
      </c>
      <c r="B119" s="17" t="s">
        <v>1629</v>
      </c>
      <c r="G119" s="5"/>
    </row>
    <row r="120" spans="1:7" ht="16" thickBot="1" x14ac:dyDescent="0.4">
      <c r="A120" s="34" t="s">
        <v>16</v>
      </c>
      <c r="B120" s="36">
        <v>573</v>
      </c>
      <c r="G120" s="5"/>
    </row>
    <row r="121" spans="1:7" x14ac:dyDescent="0.35">
      <c r="G121" s="5"/>
    </row>
    <row r="122" spans="1:7" x14ac:dyDescent="0.35">
      <c r="G122" s="5"/>
    </row>
    <row r="123" spans="1:7" ht="16" thickBot="1" x14ac:dyDescent="0.4">
      <c r="G123" s="5"/>
    </row>
    <row r="124" spans="1:7" x14ac:dyDescent="0.35">
      <c r="A124" s="4"/>
      <c r="G124" s="5"/>
    </row>
    <row r="125" spans="1:7" x14ac:dyDescent="0.35">
      <c r="A125" s="4"/>
      <c r="G125" s="5"/>
    </row>
    <row r="126" spans="1:7" x14ac:dyDescent="0.35">
      <c r="A126" s="4"/>
      <c r="G126" s="5"/>
    </row>
    <row r="127" spans="1:7" x14ac:dyDescent="0.35">
      <c r="A127" s="4"/>
      <c r="G127" s="5"/>
    </row>
    <row r="128" spans="1:7" ht="16" thickBot="1" x14ac:dyDescent="0.4">
      <c r="A128" s="15"/>
      <c r="B128" s="7"/>
      <c r="C128" s="7"/>
      <c r="D128" s="7"/>
      <c r="E128" s="7"/>
      <c r="F128" s="7"/>
      <c r="G128" s="16"/>
    </row>
  </sheetData>
  <mergeCells count="8">
    <mergeCell ref="A67:D67"/>
    <mergeCell ref="A79:J79"/>
    <mergeCell ref="A2:D2"/>
    <mergeCell ref="A11:D11"/>
    <mergeCell ref="A22:D22"/>
    <mergeCell ref="E22:H22"/>
    <mergeCell ref="A33:I33"/>
    <mergeCell ref="A53:G5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85A91-F91A-4FB3-9AE8-5AD95A354D29}">
  <dimension ref="A1"/>
  <sheetViews>
    <sheetView showGridLines="0" tabSelected="1" zoomScale="40" zoomScaleNormal="40" workbookViewId="0">
      <selection activeCell="A15" sqref="A15"/>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Abhishek Sharma</cp:lastModifiedBy>
  <dcterms:created xsi:type="dcterms:W3CDTF">2024-06-23T13:11:17Z</dcterms:created>
  <dcterms:modified xsi:type="dcterms:W3CDTF">2026-02-20T17:24:46Z</dcterms:modified>
</cp:coreProperties>
</file>